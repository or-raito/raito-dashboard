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HASH-SRV\hash\Users\עדן\דוחות שבועיים\גלידת טורבו (שבועי)\יעדי סוכנים\"/>
    </mc:Choice>
  </mc:AlternateContent>
  <xr:revisionPtr revIDLastSave="0" documentId="8_{D1A4FCA9-90DE-480F-8033-874FF91C3312}" xr6:coauthVersionLast="47" xr6:coauthVersionMax="47" xr10:uidLastSave="{00000000-0000-0000-0000-000000000000}"/>
  <bookViews>
    <workbookView xWindow="-120" yWindow="-120" windowWidth="29040" windowHeight="15720" xr2:uid="{D9AFDB51-D7B9-4E57-9B64-4EC69420625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1" l="1"/>
  <c r="G27" i="1"/>
</calcChain>
</file>

<file path=xl/sharedStrings.xml><?xml version="1.0" encoding="utf-8"?>
<sst xmlns="http://schemas.openxmlformats.org/spreadsheetml/2006/main" count="61" uniqueCount="59">
  <si>
    <t xml:space="preserve">כספי </t>
  </si>
  <si>
    <t>יעד 15.3-31.5</t>
  </si>
  <si>
    <t xml:space="preserve">יעד גלידת טורבו שוק פרטי  תחילת יעד 15.3.26 ומסתיים 31.5.26 </t>
  </si>
  <si>
    <t>חתך חשבון</t>
  </si>
  <si>
    <t>שם סוכן</t>
  </si>
  <si>
    <t>מס' לקוח</t>
  </si>
  <si>
    <t>תחזית ליעד לפי ממוצע יומי</t>
  </si>
  <si>
    <t>יעד סופי אסי</t>
  </si>
  <si>
    <t>ממוצע יומי ליעד</t>
  </si>
  <si>
    <t xml:space="preserve">הושג </t>
  </si>
  <si>
    <t>הושג באחוזים</t>
  </si>
  <si>
    <t>^^^31</t>
  </si>
  <si>
    <t>חיים</t>
  </si>
  <si>
    <t>^^321</t>
  </si>
  <si>
    <t>ליעד</t>
  </si>
  <si>
    <t>^^^26</t>
  </si>
  <si>
    <t>עידן</t>
  </si>
  <si>
    <t>^^^32</t>
  </si>
  <si>
    <t>מאור</t>
  </si>
  <si>
    <t>^^^25</t>
  </si>
  <si>
    <t>אדם</t>
  </si>
  <si>
    <t>^^^36</t>
  </si>
  <si>
    <t>מקסים</t>
  </si>
  <si>
    <t>^^^29</t>
  </si>
  <si>
    <t>בני</t>
  </si>
  <si>
    <t>^^^9^</t>
  </si>
  <si>
    <t>נדב</t>
  </si>
  <si>
    <t>^^^8^</t>
  </si>
  <si>
    <t>אוראל</t>
  </si>
  <si>
    <t>^^^30</t>
  </si>
  <si>
    <t>אילן</t>
  </si>
  <si>
    <t>^^^37</t>
  </si>
  <si>
    <t>איתמר</t>
  </si>
  <si>
    <t>^^^12</t>
  </si>
  <si>
    <t>אייל</t>
  </si>
  <si>
    <t>^^^6^</t>
  </si>
  <si>
    <t>צחי</t>
  </si>
  <si>
    <t>^^^35</t>
  </si>
  <si>
    <t>דיויד</t>
  </si>
  <si>
    <t>^^^4^</t>
  </si>
  <si>
    <t>ירין</t>
  </si>
  <si>
    <t>^^^3^</t>
  </si>
  <si>
    <t>רפי</t>
  </si>
  <si>
    <t>^^^21</t>
  </si>
  <si>
    <t>אלון</t>
  </si>
  <si>
    <t>^^^5^</t>
  </si>
  <si>
    <t>וודיע</t>
  </si>
  <si>
    <t>^^^19</t>
  </si>
  <si>
    <t>עומר</t>
  </si>
  <si>
    <t>^^^11</t>
  </si>
  <si>
    <t>אלרואי</t>
  </si>
  <si>
    <t>^^^18</t>
  </si>
  <si>
    <t>נחמן</t>
  </si>
  <si>
    <t>^^^38</t>
  </si>
  <si>
    <t>אלי סלושץ</t>
  </si>
  <si>
    <t>^^^7^</t>
  </si>
  <si>
    <t>ישראל נוייפלד</t>
  </si>
  <si>
    <t>ללא מה שמסומן באדום</t>
  </si>
  <si>
    <t>02.05.2026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</si>
</sst>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₪&quot;\ #,##0"/>
    <numFmt numFmtId="165" formatCode="&quot;₪&quot;\ #,##0.00"/>
  </numFmts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8" applyNumberFormat="0" applyAlignment="0" applyProtection="0"/>
    <xf numFmtId="0" fontId="14" fillId="9" borderId="9" applyNumberFormat="0" applyAlignment="0" applyProtection="0"/>
    <xf numFmtId="0" fontId="15" fillId="9" borderId="8" applyNumberFormat="0" applyAlignment="0" applyProtection="0"/>
    <xf numFmtId="0" fontId="16" fillId="0" borderId="10" applyNumberFormat="0" applyFill="0" applyAlignment="0" applyProtection="0"/>
    <xf numFmtId="0" fontId="17" fillId="10" borderId="11" applyNumberFormat="0" applyAlignment="0" applyProtection="0"/>
    <xf numFmtId="0" fontId="18" fillId="0" borderId="0" applyNumberFormat="0" applyFill="0" applyBorder="0" applyAlignment="0" applyProtection="0"/>
    <xf numFmtId="0" fontId="1" fillId="11" borderId="12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3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>
      <alignment horizontal="right"/>
    </xf>
    <xf numFmtId="0" fontId="1" fillId="0" borderId="0">
      <alignment horizontal="right"/>
    </xf>
    <xf numFmtId="0" fontId="22" fillId="0" borderId="0"/>
  </cellStyleXfs>
  <cellXfs count="26">
    <xf numFmtId="0" fontId="0" fillId="0" borderId="0" xfId="0"/>
    <xf numFmtId="0" fontId="2" fillId="4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9" fontId="2" fillId="3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9" fontId="2" fillId="2" borderId="1" xfId="1" applyFont="1" applyFill="1" applyBorder="1" applyAlignment="1">
      <alignment horizontal="center"/>
    </xf>
    <xf numFmtId="0" fontId="3" fillId="0" borderId="0" xfId="0" applyFont="1"/>
    <xf numFmtId="0" fontId="2" fillId="3" borderId="1" xfId="0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65" fontId="2" fillId="4" borderId="1" xfId="0" applyNumberFormat="1" applyFont="1" applyFill="1" applyBorder="1" applyAlignment="1">
      <alignment horizontal="center"/>
    </xf>
    <xf numFmtId="9" fontId="2" fillId="4" borderId="1" xfId="1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46">
    <cellStyle name="20% - הדגשה1" xfId="20" builtinId="30" customBuiltin="1"/>
    <cellStyle name="20% - הדגשה2" xfId="24" builtinId="34" customBuiltin="1"/>
    <cellStyle name="20% - הדגשה3" xfId="28" builtinId="38" customBuiltin="1"/>
    <cellStyle name="20% - הדגשה4" xfId="32" builtinId="42" customBuiltin="1"/>
    <cellStyle name="20% - הדגשה5" xfId="36" builtinId="46" customBuiltin="1"/>
    <cellStyle name="20% - הדגשה6" xfId="40" builtinId="50" customBuiltin="1"/>
    <cellStyle name="40% - הדגשה1" xfId="21" builtinId="31" customBuiltin="1"/>
    <cellStyle name="40% - הדגשה2" xfId="25" builtinId="35" customBuiltin="1"/>
    <cellStyle name="40% - הדגשה3" xfId="29" builtinId="39" customBuiltin="1"/>
    <cellStyle name="40% - הדגשה4" xfId="33" builtinId="43" customBuiltin="1"/>
    <cellStyle name="40% - הדגשה5" xfId="37" builtinId="47" customBuiltin="1"/>
    <cellStyle name="40% - הדגשה6" xfId="41" builtinId="51" customBuiltin="1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Normal" xfId="0" builtinId="0"/>
    <cellStyle name="Normal 2" xfId="43" xr:uid="{57B9D321-F21F-47B8-AD75-EF940756C282}"/>
    <cellStyle name="Normal 3" xfId="44" xr:uid="{F6D763EE-596F-4CDD-813C-6CEAB16D2AEB}"/>
    <cellStyle name="Normal 4" xfId="45" xr:uid="{6F59A1DA-94E7-45DA-944A-953249ACBA9B}"/>
    <cellStyle name="Percent" xfId="1" builtinId="5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8966-F1B2-430D-84B4-0BCFF9B47B7E}">
  <dimension ref="A1:H28"/>
  <sheetViews>
    <sheetView rightToLeft="1" tabSelected="1" workbookViewId="0">
      <selection activeCell="P13" sqref="P13"/>
    </sheetView>
  </sheetViews>
  <sheetFormatPr defaultColWidth="9.125" defaultRowHeight="12.75" x14ac:dyDescent="0.2"/>
  <cols>
    <col min="1" max="1" width="9.125" style="7"/>
    <col min="2" max="2" width="10.625" style="7" bestFit="1" customWidth="1"/>
    <col min="3" max="3" width="12" style="15" customWidth="1"/>
    <col min="4" max="4" width="23.125" style="7" hidden="1" customWidth="1"/>
    <col min="5" max="5" width="19.25" style="7" bestFit="1" customWidth="1"/>
    <col min="6" max="6" width="15.375" style="15" hidden="1" customWidth="1"/>
    <col min="7" max="7" width="12.875" style="7" customWidth="1"/>
    <col min="8" max="8" width="12.375" style="7" customWidth="1"/>
    <col min="9" max="16384" width="9.125" style="7"/>
  </cols>
  <sheetData>
    <row r="1" spans="1:8" x14ac:dyDescent="0.2">
      <c r="A1" s="23" t="s">
        <v>0</v>
      </c>
      <c r="B1" s="24"/>
      <c r="C1" s="25"/>
      <c r="D1" s="5" t="s">
        <v>1</v>
      </c>
      <c r="E1" s="5" t="s">
        <v>1</v>
      </c>
      <c r="F1" s="5" t="s">
        <v>1</v>
      </c>
      <c r="G1" s="6">
        <v>0.62</v>
      </c>
      <c r="H1" s="16" t="s">
        <v>58</v>
      </c>
    </row>
    <row r="2" spans="1:8" x14ac:dyDescent="0.2">
      <c r="A2" s="8" t="s">
        <v>2</v>
      </c>
      <c r="B2" s="8"/>
      <c r="C2" s="8"/>
      <c r="D2" s="8"/>
      <c r="E2" s="8">
        <v>47</v>
      </c>
      <c r="F2" s="8">
        <v>47</v>
      </c>
      <c r="G2" s="8">
        <v>29</v>
      </c>
      <c r="H2" s="4"/>
    </row>
    <row r="3" spans="1:8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</row>
    <row r="4" spans="1:8" ht="14.25" x14ac:dyDescent="0.2">
      <c r="A4" s="19" t="s">
        <v>11</v>
      </c>
      <c r="B4" s="17" t="s">
        <v>12</v>
      </c>
      <c r="C4" s="17">
        <v>107</v>
      </c>
      <c r="D4" s="9">
        <v>116581.296875</v>
      </c>
      <c r="E4" s="9">
        <v>100000</v>
      </c>
      <c r="F4" s="2">
        <v>2127.6595744680849</v>
      </c>
      <c r="G4" s="2">
        <v>66391.250000000015</v>
      </c>
      <c r="H4" s="22">
        <v>0.66391250000000013</v>
      </c>
    </row>
    <row r="5" spans="1:8" ht="14.25" x14ac:dyDescent="0.2">
      <c r="A5" s="19" t="s">
        <v>13</v>
      </c>
      <c r="B5" s="17" t="s">
        <v>14</v>
      </c>
      <c r="C5" s="17">
        <v>35</v>
      </c>
      <c r="D5" s="9">
        <v>112557.65625</v>
      </c>
      <c r="E5" s="9">
        <v>100000</v>
      </c>
      <c r="F5" s="2">
        <v>2127.6595744680849</v>
      </c>
      <c r="G5" s="2">
        <v>43850.68</v>
      </c>
      <c r="H5" s="22">
        <v>0.43850680000000003</v>
      </c>
    </row>
    <row r="6" spans="1:8" ht="14.25" x14ac:dyDescent="0.2">
      <c r="A6" s="19" t="s">
        <v>15</v>
      </c>
      <c r="B6" s="17" t="s">
        <v>16</v>
      </c>
      <c r="C6" s="17">
        <v>27</v>
      </c>
      <c r="D6" s="9">
        <v>62490.90625</v>
      </c>
      <c r="E6" s="9">
        <v>70000</v>
      </c>
      <c r="F6" s="2">
        <v>1489.3617021276596</v>
      </c>
      <c r="G6" s="2">
        <v>43425.020000000011</v>
      </c>
      <c r="H6" s="22">
        <v>0.62035742857142873</v>
      </c>
    </row>
    <row r="7" spans="1:8" ht="14.25" x14ac:dyDescent="0.2">
      <c r="A7" s="19" t="s">
        <v>17</v>
      </c>
      <c r="B7" s="17" t="s">
        <v>18</v>
      </c>
      <c r="C7" s="17">
        <v>49</v>
      </c>
      <c r="D7" s="9">
        <v>46806.125</v>
      </c>
      <c r="E7" s="9">
        <v>50000</v>
      </c>
      <c r="F7" s="2">
        <v>1063.8297872340424</v>
      </c>
      <c r="G7" s="2">
        <v>19894.62000000001</v>
      </c>
      <c r="H7" s="22">
        <v>0.3978924000000002</v>
      </c>
    </row>
    <row r="8" spans="1:8" ht="14.25" x14ac:dyDescent="0.2">
      <c r="A8" s="19" t="s">
        <v>19</v>
      </c>
      <c r="B8" s="17" t="s">
        <v>20</v>
      </c>
      <c r="C8" s="17">
        <v>70</v>
      </c>
      <c r="D8" s="9">
        <v>42661.3125</v>
      </c>
      <c r="E8" s="9">
        <v>50000</v>
      </c>
      <c r="F8" s="2">
        <v>1063.8297872340424</v>
      </c>
      <c r="G8" s="2">
        <v>38915.939999999959</v>
      </c>
      <c r="H8" s="22">
        <v>0.7783187999999992</v>
      </c>
    </row>
    <row r="9" spans="1:8" ht="14.25" x14ac:dyDescent="0.2">
      <c r="A9" s="19" t="s">
        <v>21</v>
      </c>
      <c r="B9" s="17" t="s">
        <v>22</v>
      </c>
      <c r="C9" s="17">
        <v>50</v>
      </c>
      <c r="D9" s="9">
        <v>39007.796875</v>
      </c>
      <c r="E9" s="9">
        <v>45000</v>
      </c>
      <c r="F9" s="2">
        <v>957.44680851063833</v>
      </c>
      <c r="G9" s="2">
        <v>16637.14000000001</v>
      </c>
      <c r="H9" s="22">
        <v>0.36971422222222244</v>
      </c>
    </row>
    <row r="10" spans="1:8" ht="14.25" x14ac:dyDescent="0.2">
      <c r="A10" s="19" t="s">
        <v>23</v>
      </c>
      <c r="B10" s="17" t="s">
        <v>24</v>
      </c>
      <c r="C10" s="17">
        <v>30</v>
      </c>
      <c r="D10" s="9">
        <v>38382.109375</v>
      </c>
      <c r="E10" s="9">
        <v>45000</v>
      </c>
      <c r="F10" s="2">
        <v>957.44680851063833</v>
      </c>
      <c r="G10" s="2">
        <v>22032.66</v>
      </c>
      <c r="H10" s="22">
        <v>0.48961466666666664</v>
      </c>
    </row>
    <row r="11" spans="1:8" ht="14.25" x14ac:dyDescent="0.2">
      <c r="A11" s="19" t="s">
        <v>25</v>
      </c>
      <c r="B11" s="17" t="s">
        <v>26</v>
      </c>
      <c r="C11" s="17">
        <v>41</v>
      </c>
      <c r="D11" s="9">
        <v>36472</v>
      </c>
      <c r="E11" s="9">
        <v>45000</v>
      </c>
      <c r="F11" s="2">
        <v>957.44680851063833</v>
      </c>
      <c r="G11" s="2">
        <v>17898.060000000009</v>
      </c>
      <c r="H11" s="22">
        <v>0.39773466666666685</v>
      </c>
    </row>
    <row r="12" spans="1:8" ht="14.25" x14ac:dyDescent="0.2">
      <c r="A12" s="19" t="s">
        <v>27</v>
      </c>
      <c r="B12" s="17" t="s">
        <v>28</v>
      </c>
      <c r="C12" s="17">
        <v>44</v>
      </c>
      <c r="D12" s="9">
        <v>23593.265625</v>
      </c>
      <c r="E12" s="9">
        <v>30000</v>
      </c>
      <c r="F12" s="2">
        <v>638.29787234042556</v>
      </c>
      <c r="G12" s="2">
        <v>17202.18</v>
      </c>
      <c r="H12" s="22">
        <v>0.57340599999999997</v>
      </c>
    </row>
    <row r="13" spans="1:8" ht="14.25" x14ac:dyDescent="0.2">
      <c r="A13" s="19" t="s">
        <v>29</v>
      </c>
      <c r="B13" s="17" t="s">
        <v>30</v>
      </c>
      <c r="C13" s="17">
        <v>37</v>
      </c>
      <c r="D13" s="9">
        <v>23247.375</v>
      </c>
      <c r="E13" s="9">
        <v>30000</v>
      </c>
      <c r="F13" s="2">
        <v>638.29787234042556</v>
      </c>
      <c r="G13" s="2">
        <v>8939.3800000000047</v>
      </c>
      <c r="H13" s="22">
        <v>0.29797933333333348</v>
      </c>
    </row>
    <row r="14" spans="1:8" ht="14.25" x14ac:dyDescent="0.2">
      <c r="A14" s="19" t="s">
        <v>31</v>
      </c>
      <c r="B14" s="17" t="s">
        <v>32</v>
      </c>
      <c r="C14" s="17">
        <v>40</v>
      </c>
      <c r="D14" s="9">
        <v>20507.421875</v>
      </c>
      <c r="E14" s="9">
        <v>30000</v>
      </c>
      <c r="F14" s="2">
        <v>638.29787234042556</v>
      </c>
      <c r="G14" s="2">
        <v>8057.3499999999985</v>
      </c>
      <c r="H14" s="22">
        <v>0.26857833333333331</v>
      </c>
    </row>
    <row r="15" spans="1:8" ht="14.25" x14ac:dyDescent="0.2">
      <c r="A15" s="19" t="s">
        <v>33</v>
      </c>
      <c r="B15" s="17" t="s">
        <v>34</v>
      </c>
      <c r="C15" s="17">
        <v>29</v>
      </c>
      <c r="D15" s="9">
        <v>20299.59375</v>
      </c>
      <c r="E15" s="9">
        <v>30000</v>
      </c>
      <c r="F15" s="2">
        <v>638.29787234042556</v>
      </c>
      <c r="G15" s="2">
        <v>4807.8300000000008</v>
      </c>
      <c r="H15" s="22">
        <v>0.16026100000000001</v>
      </c>
    </row>
    <row r="16" spans="1:8" ht="14.25" x14ac:dyDescent="0.2">
      <c r="A16" s="19" t="s">
        <v>35</v>
      </c>
      <c r="B16" s="17" t="s">
        <v>36</v>
      </c>
      <c r="C16" s="17">
        <v>28</v>
      </c>
      <c r="D16" s="9">
        <v>19950.765625</v>
      </c>
      <c r="E16" s="9">
        <v>30000</v>
      </c>
      <c r="F16" s="2">
        <v>638.29787234042556</v>
      </c>
      <c r="G16" s="2">
        <v>7606.6500000000015</v>
      </c>
      <c r="H16" s="22">
        <v>0.25355500000000003</v>
      </c>
    </row>
    <row r="17" spans="1:8" ht="14.25" x14ac:dyDescent="0.2">
      <c r="A17" s="19" t="s">
        <v>37</v>
      </c>
      <c r="B17" s="17" t="s">
        <v>38</v>
      </c>
      <c r="C17" s="17">
        <v>28</v>
      </c>
      <c r="D17" s="9">
        <v>17230.640625</v>
      </c>
      <c r="E17" s="9">
        <v>20000</v>
      </c>
      <c r="F17" s="2">
        <v>425.531914893617</v>
      </c>
      <c r="G17" s="2">
        <v>11534.700000000003</v>
      </c>
      <c r="H17" s="22">
        <v>0.57673500000000011</v>
      </c>
    </row>
    <row r="18" spans="1:8" ht="14.25" x14ac:dyDescent="0.2">
      <c r="A18" s="19" t="s">
        <v>39</v>
      </c>
      <c r="B18" s="17" t="s">
        <v>40</v>
      </c>
      <c r="C18" s="17">
        <v>19</v>
      </c>
      <c r="D18" s="9">
        <v>10901.796875</v>
      </c>
      <c r="E18" s="9">
        <v>25000</v>
      </c>
      <c r="F18" s="2">
        <v>531.91489361702122</v>
      </c>
      <c r="G18" s="2">
        <v>7105.4100000000017</v>
      </c>
      <c r="H18" s="22">
        <v>0.28421640000000009</v>
      </c>
    </row>
    <row r="19" spans="1:8" ht="14.25" x14ac:dyDescent="0.2">
      <c r="A19" s="19" t="s">
        <v>41</v>
      </c>
      <c r="B19" s="17" t="s">
        <v>42</v>
      </c>
      <c r="C19" s="17">
        <v>30</v>
      </c>
      <c r="D19" s="9">
        <v>10162.28125</v>
      </c>
      <c r="E19" s="9">
        <v>20000</v>
      </c>
      <c r="F19" s="2">
        <v>425.531914893617</v>
      </c>
      <c r="G19" s="2">
        <v>3384.9099999999994</v>
      </c>
      <c r="H19" s="22">
        <v>0.16924549999999997</v>
      </c>
    </row>
    <row r="20" spans="1:8" ht="14.25" x14ac:dyDescent="0.2">
      <c r="A20" s="19" t="s">
        <v>43</v>
      </c>
      <c r="B20" s="17" t="s">
        <v>44</v>
      </c>
      <c r="C20" s="17">
        <v>12</v>
      </c>
      <c r="D20" s="9">
        <v>8836</v>
      </c>
      <c r="E20" s="9">
        <v>20000</v>
      </c>
      <c r="F20" s="2">
        <v>425.531914893617</v>
      </c>
      <c r="G20" s="2">
        <v>5780.5999999999967</v>
      </c>
      <c r="H20" s="22">
        <v>0.28902999999999984</v>
      </c>
    </row>
    <row r="21" spans="1:8" ht="14.25" x14ac:dyDescent="0.2">
      <c r="A21" s="19" t="s">
        <v>45</v>
      </c>
      <c r="B21" s="17" t="s">
        <v>46</v>
      </c>
      <c r="C21" s="17">
        <v>16</v>
      </c>
      <c r="D21" s="9">
        <v>4744.796875</v>
      </c>
      <c r="E21" s="9">
        <v>20000</v>
      </c>
      <c r="F21" s="2">
        <v>425.531914893617</v>
      </c>
      <c r="G21" s="2">
        <v>7871.480000000005</v>
      </c>
      <c r="H21" s="22">
        <v>0.39357400000000026</v>
      </c>
    </row>
    <row r="22" spans="1:8" ht="14.25" x14ac:dyDescent="0.2">
      <c r="A22" s="19" t="s">
        <v>47</v>
      </c>
      <c r="B22" s="17" t="s">
        <v>48</v>
      </c>
      <c r="C22" s="17">
        <v>12</v>
      </c>
      <c r="D22" s="9">
        <v>4356.3125</v>
      </c>
      <c r="E22" s="9">
        <v>20000</v>
      </c>
      <c r="F22" s="2">
        <v>425.531914893617</v>
      </c>
      <c r="G22" s="2">
        <v>7755.7000000000016</v>
      </c>
      <c r="H22" s="22">
        <v>0.3877850000000001</v>
      </c>
    </row>
    <row r="23" spans="1:8" ht="14.25" x14ac:dyDescent="0.2">
      <c r="A23" s="20" t="s">
        <v>49</v>
      </c>
      <c r="B23" s="18" t="s">
        <v>50</v>
      </c>
      <c r="C23" s="18">
        <v>4</v>
      </c>
      <c r="D23" s="10">
        <v>4147.015625</v>
      </c>
      <c r="E23" s="10">
        <v>5000</v>
      </c>
      <c r="F23" s="3">
        <v>106.38297872340425</v>
      </c>
      <c r="G23" s="2">
        <v>987.28000000000009</v>
      </c>
      <c r="H23" s="22">
        <v>0.19745600000000002</v>
      </c>
    </row>
    <row r="24" spans="1:8" ht="14.25" x14ac:dyDescent="0.2">
      <c r="A24" s="20" t="s">
        <v>51</v>
      </c>
      <c r="B24" s="18" t="s">
        <v>52</v>
      </c>
      <c r="C24" s="18">
        <v>9</v>
      </c>
      <c r="D24" s="10">
        <v>2549.015625</v>
      </c>
      <c r="E24" s="10">
        <v>5000</v>
      </c>
      <c r="F24" s="3">
        <v>106.38297872340425</v>
      </c>
      <c r="G24" s="2">
        <v>846.08</v>
      </c>
      <c r="H24" s="22">
        <v>0.16921600000000001</v>
      </c>
    </row>
    <row r="25" spans="1:8" ht="14.25" x14ac:dyDescent="0.2">
      <c r="A25" s="20" t="s">
        <v>53</v>
      </c>
      <c r="B25" s="18" t="s">
        <v>54</v>
      </c>
      <c r="C25" s="18">
        <v>3</v>
      </c>
      <c r="D25" s="10">
        <v>1077.328125</v>
      </c>
      <c r="E25" s="10">
        <v>5000</v>
      </c>
      <c r="F25" s="3">
        <v>106.38297872340425</v>
      </c>
      <c r="G25" s="2">
        <v>1240.95</v>
      </c>
      <c r="H25" s="22">
        <v>0.24819000000000002</v>
      </c>
    </row>
    <row r="26" spans="1:8" ht="14.25" x14ac:dyDescent="0.2">
      <c r="A26" s="20" t="s">
        <v>55</v>
      </c>
      <c r="B26" s="18" t="s">
        <v>56</v>
      </c>
      <c r="C26" s="18">
        <v>1</v>
      </c>
      <c r="D26" s="10">
        <v>62.421875</v>
      </c>
      <c r="E26" s="10">
        <v>5000</v>
      </c>
      <c r="F26" s="3">
        <v>106.38297872340425</v>
      </c>
      <c r="G26" s="2">
        <v>140.97</v>
      </c>
      <c r="H26" s="22">
        <v>2.8194E-2</v>
      </c>
    </row>
    <row r="27" spans="1:8" x14ac:dyDescent="0.2">
      <c r="A27" s="1">
        <v>24</v>
      </c>
      <c r="B27" s="1">
        <v>21</v>
      </c>
      <c r="C27" s="1">
        <v>721</v>
      </c>
      <c r="D27" s="11">
        <v>666625.234375</v>
      </c>
      <c r="E27" s="21">
        <v>780000</v>
      </c>
      <c r="F27" s="11">
        <v>17021.276595744672</v>
      </c>
      <c r="G27" s="21">
        <f>SUM(G4:G26)</f>
        <v>362306.84</v>
      </c>
      <c r="H27" s="12">
        <f>G27/E27</f>
        <v>0.46449594871794875</v>
      </c>
    </row>
    <row r="28" spans="1:8" x14ac:dyDescent="0.2">
      <c r="A28" s="13"/>
      <c r="B28" s="13"/>
      <c r="D28" s="13"/>
      <c r="E28" s="14" t="s">
        <v>57</v>
      </c>
      <c r="F28" s="2"/>
      <c r="G28" s="13"/>
      <c r="H28" s="1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אסי כחילה</dc:creator>
  <cp:lastModifiedBy>Eden Ben Yishai</cp:lastModifiedBy>
  <dcterms:created xsi:type="dcterms:W3CDTF">2026-03-22T10:20:52Z</dcterms:created>
  <dcterms:modified xsi:type="dcterms:W3CDTF">2026-05-03T15:37:01Z</dcterms:modified>
</cp:coreProperties>
</file>