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<sst xmlns="http://schemas.openxmlformats.org/spreadsheetml/2006/main" count="70" uniqueCount="69">
  <si>
    <t xml:space="preserve">כספי </t>
  </si>
  <si>
    <t>יעד 15.3-31.5</t>
  </si>
  <si>
    <t xml:space="preserve">יעד גלידת טורבו שוק פרטי  תחילת יעד 15.3.26 ומסתיים 31.5.26 </t>
  </si>
  <si>
    <t>2025 השקה</t>
  </si>
  <si>
    <t>למלא פה ימים שעברו</t>
  </si>
  <si>
    <t>92100/01/02/03</t>
  </si>
  <si>
    <t>חתך חשבון</t>
  </si>
  <si>
    <t>שם סוכן</t>
  </si>
  <si>
    <t>מס' לקוח</t>
  </si>
  <si>
    <t>נובמבר</t>
  </si>
  <si>
    <t xml:space="preserve">דצמבר </t>
  </si>
  <si>
    <t>ינואר</t>
  </si>
  <si>
    <t>פברואר</t>
  </si>
  <si>
    <t>סה'כ</t>
  </si>
  <si>
    <t>אחוז מהמכר</t>
  </si>
  <si>
    <t>ממוצע יומי</t>
  </si>
  <si>
    <t>תחזית ליעד לפי ממוצע יומי</t>
  </si>
  <si>
    <t>יעד לפי אחוז מהמכר</t>
  </si>
  <si>
    <t>יעד סופי אסי</t>
  </si>
  <si>
    <t>ממוצע יומי ליעד</t>
  </si>
  <si>
    <t xml:space="preserve">הושג </t>
  </si>
  <si>
    <t>תמונות</t>
  </si>
  <si>
    <t>^^^31</t>
  </si>
  <si>
    <t>חיים</t>
  </si>
  <si>
    <t>^^321</t>
  </si>
  <si>
    <t>ליעד</t>
  </si>
  <si>
    <t>^^^26</t>
  </si>
  <si>
    <t>עידן</t>
  </si>
  <si>
    <t>^^^32</t>
  </si>
  <si>
    <t>מאור</t>
  </si>
  <si>
    <t>^^^25</t>
  </si>
  <si>
    <t>אדם</t>
  </si>
  <si>
    <t>^^^36</t>
  </si>
  <si>
    <t>מקסים</t>
  </si>
  <si>
    <t>^^^29</t>
  </si>
  <si>
    <t>בני</t>
  </si>
  <si>
    <t>^^^9^</t>
  </si>
  <si>
    <t>נדב</t>
  </si>
  <si>
    <t>^^^8^</t>
  </si>
  <si>
    <t>אוראל</t>
  </si>
  <si>
    <t>^^^30</t>
  </si>
  <si>
    <t>אילן</t>
  </si>
  <si>
    <t>^^^37</t>
  </si>
  <si>
    <t>איתמר</t>
  </si>
  <si>
    <t>^^^12</t>
  </si>
  <si>
    <t>אייל</t>
  </si>
  <si>
    <t>^^^6^</t>
  </si>
  <si>
    <t>צחי</t>
  </si>
  <si>
    <t>^^^35</t>
  </si>
  <si>
    <t>דיויד</t>
  </si>
  <si>
    <t>^^^4^</t>
  </si>
  <si>
    <t>ירין</t>
  </si>
  <si>
    <t>^^^3^</t>
  </si>
  <si>
    <t>רפי</t>
  </si>
  <si>
    <t>^^^21</t>
  </si>
  <si>
    <t>אלון</t>
  </si>
  <si>
    <t>^^^5^</t>
  </si>
  <si>
    <t>וודיע</t>
  </si>
  <si>
    <t>^^^19</t>
  </si>
  <si>
    <t>עומר</t>
  </si>
  <si>
    <t>^^^11</t>
  </si>
  <si>
    <t>אלרואי</t>
  </si>
  <si>
    <t>^^^18</t>
  </si>
  <si>
    <t>נחמן</t>
  </si>
  <si>
    <t>^^^38</t>
  </si>
  <si>
    <t>אלי סלושץ</t>
  </si>
  <si>
    <t>^^^7^</t>
  </si>
  <si>
    <t>ישראל נוייפלד</t>
  </si>
  <si>
    <t>ללא מה שמסומן באדום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</si>
</sst>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₪&quot;\ #,##0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/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b/>
      <sz val="10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2" fontId="1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readingOrder="0" vertical="center"/>
    </xf>
    <xf borderId="6" fillId="3" fontId="5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readingOrder="0" vertical="center"/>
    </xf>
    <xf borderId="7" fillId="3" fontId="7" numFmtId="0" xfId="0" applyAlignment="1" applyBorder="1" applyFont="1">
      <alignment horizontal="center" vertical="center"/>
    </xf>
    <xf borderId="8" fillId="0" fontId="3" numFmtId="0" xfId="0" applyBorder="1" applyFont="1"/>
    <xf borderId="6" fillId="4" fontId="8" numFmtId="0" xfId="0" applyAlignment="1" applyBorder="1" applyFill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10" fillId="3" fontId="2" numFmtId="0" xfId="0" applyAlignment="1" applyBorder="1" applyFont="1">
      <alignment horizontal="center" vertical="center"/>
    </xf>
    <xf borderId="11" fillId="5" fontId="2" numFmtId="0" xfId="0" applyAlignment="1" applyBorder="1" applyFill="1" applyFont="1">
      <alignment horizontal="center" readingOrder="0"/>
    </xf>
    <xf borderId="12" fillId="5" fontId="2" numFmtId="0" xfId="0" applyAlignment="1" applyBorder="1" applyFont="1">
      <alignment horizontal="center" readingOrder="0"/>
    </xf>
    <xf borderId="13" fillId="5" fontId="2" numFmtId="0" xfId="0" applyAlignment="1" applyBorder="1" applyFont="1">
      <alignment horizontal="center" readingOrder="0"/>
    </xf>
    <xf borderId="14" fillId="5" fontId="2" numFmtId="0" xfId="0" applyAlignment="1" applyBorder="1" applyFont="1">
      <alignment horizontal="center" readingOrder="0"/>
    </xf>
    <xf borderId="11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/>
    </xf>
    <xf borderId="12" fillId="0" fontId="9" numFmtId="164" xfId="0" applyAlignment="1" applyBorder="1" applyFont="1" applyNumberFormat="1">
      <alignment horizontal="center"/>
    </xf>
    <xf borderId="12" fillId="0" fontId="9" numFmtId="10" xfId="0" applyAlignment="1" applyBorder="1" applyFont="1" applyNumberFormat="1">
      <alignment horizontal="center"/>
    </xf>
    <xf borderId="15" fillId="0" fontId="9" numFmtId="164" xfId="0" applyAlignment="1" applyBorder="1" applyFont="1" applyNumberFormat="1">
      <alignment horizontal="center"/>
    </xf>
    <xf borderId="16" fillId="0" fontId="9" numFmtId="164" xfId="0" applyAlignment="1" applyBorder="1" applyFont="1" applyNumberFormat="1">
      <alignment horizontal="center"/>
    </xf>
    <xf borderId="11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/>
    </xf>
    <xf borderId="12" fillId="0" fontId="10" numFmtId="164" xfId="0" applyAlignment="1" applyBorder="1" applyFont="1" applyNumberFormat="1">
      <alignment horizontal="center"/>
    </xf>
    <xf borderId="12" fillId="0" fontId="10" numFmtId="10" xfId="0" applyAlignment="1" applyBorder="1" applyFont="1" applyNumberFormat="1">
      <alignment horizontal="center"/>
    </xf>
    <xf borderId="17" fillId="3" fontId="2" numFmtId="1" xfId="0" applyAlignment="1" applyBorder="1" applyFont="1" applyNumberFormat="1">
      <alignment horizontal="center"/>
    </xf>
    <xf borderId="18" fillId="3" fontId="2" numFmtId="1" xfId="0" applyAlignment="1" applyBorder="1" applyFont="1" applyNumberFormat="1">
      <alignment horizontal="center"/>
    </xf>
    <xf borderId="18" fillId="3" fontId="2" numFmtId="164" xfId="0" applyAlignment="1" applyBorder="1" applyFont="1" applyNumberFormat="1">
      <alignment horizontal="center"/>
    </xf>
    <xf borderId="18" fillId="3" fontId="2" numFmtId="9" xfId="0" applyAlignment="1" applyBorder="1" applyFont="1" applyNumberFormat="1">
      <alignment horizontal="center"/>
    </xf>
    <xf borderId="19" fillId="3" fontId="2" numFmtId="164" xfId="0" applyAlignment="1" applyBorder="1" applyFont="1" applyNumberFormat="1">
      <alignment horizontal="center"/>
    </xf>
    <xf borderId="20" fillId="3" fontId="2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Relationship Id="rId3" Type="http://schemas.openxmlformats.org/officeDocument/2006/relationships/image" Target="../media/image3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76200</xdr:colOff>
      <xdr:row>9</xdr:row>
      <xdr:rowOff>0</xdr:rowOff>
    </xdr:from>
    <xdr:ext cx="1019175" cy="8286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3</xdr:row>
      <xdr:rowOff>76200</xdr:rowOff>
    </xdr:from>
    <xdr:ext cx="923925" cy="8953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20</xdr:row>
      <xdr:rowOff>57150</xdr:rowOff>
    </xdr:from>
    <xdr:ext cx="1057275" cy="97155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14</xdr:row>
      <xdr:rowOff>95250</xdr:rowOff>
    </xdr:from>
    <xdr:ext cx="1057275" cy="93345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53.71"/>
    <col customWidth="1" min="2" max="2" width="12.0"/>
    <col customWidth="1" min="3" max="3" width="13.57"/>
    <col customWidth="1" min="4" max="4" width="11.29"/>
    <col customWidth="1" min="5" max="5" width="12.71"/>
    <col customWidth="1" min="6" max="6" width="11.86"/>
    <col customWidth="1" min="7" max="7" width="13.71"/>
    <col customWidth="1" min="8" max="8" width="12.71"/>
    <col customWidth="1" min="9" max="10" width="8.71"/>
    <col customWidth="1" min="11" max="11" width="20.0"/>
    <col customWidth="1" min="12" max="12" width="18.43"/>
    <col customWidth="1" min="13" max="13" width="20.71"/>
    <col customWidth="1" min="14" max="14" width="14.86"/>
    <col customWidth="1" min="15" max="15" width="15.86"/>
    <col customWidth="1" min="16" max="16" width="18.29"/>
    <col customWidth="1" min="17" max="26" width="8.71"/>
  </cols>
  <sheetData>
    <row r="1">
      <c r="A1" s="1"/>
      <c r="B1" s="1"/>
      <c r="C1" s="2" t="s">
        <v>0</v>
      </c>
      <c r="D1" s="3">
        <v>2025.0</v>
      </c>
      <c r="E1" s="4"/>
      <c r="F1" s="3">
        <v>2026.0</v>
      </c>
      <c r="G1" s="4"/>
      <c r="H1" s="1"/>
      <c r="I1" s="1"/>
      <c r="J1" s="1"/>
      <c r="K1" s="2" t="s">
        <v>1</v>
      </c>
      <c r="L1" s="1"/>
      <c r="M1" s="2" t="s">
        <v>1</v>
      </c>
      <c r="N1" s="1"/>
      <c r="O1" s="5"/>
      <c r="P1" s="5"/>
    </row>
    <row r="2">
      <c r="A2" s="6" t="s">
        <v>2</v>
      </c>
      <c r="B2" s="7"/>
      <c r="C2" s="7"/>
      <c r="D2" s="7">
        <v>2025.0</v>
      </c>
      <c r="E2" s="8" t="s">
        <v>3</v>
      </c>
      <c r="F2" s="9">
        <v>2026.0</v>
      </c>
      <c r="G2" s="10"/>
      <c r="H2" s="7"/>
      <c r="I2" s="7"/>
      <c r="J2" s="7"/>
      <c r="K2" s="7"/>
      <c r="L2" s="11"/>
      <c r="M2" s="7"/>
      <c r="N2" s="12">
        <v>47.0</v>
      </c>
      <c r="O2" s="13" t="s">
        <v>4</v>
      </c>
      <c r="P2" s="14" t="s">
        <v>5</v>
      </c>
    </row>
    <row r="3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6" t="s">
        <v>15</v>
      </c>
      <c r="K3" s="16" t="s">
        <v>16</v>
      </c>
      <c r="L3" s="16" t="s">
        <v>17</v>
      </c>
      <c r="M3" s="16" t="s">
        <v>18</v>
      </c>
      <c r="N3" s="17" t="s">
        <v>19</v>
      </c>
      <c r="O3" s="16" t="s">
        <v>20</v>
      </c>
      <c r="P3" s="18" t="s">
        <v>21</v>
      </c>
    </row>
    <row r="4">
      <c r="A4" s="19" t="s">
        <v>22</v>
      </c>
      <c r="B4" s="20" t="s">
        <v>23</v>
      </c>
      <c r="C4" s="21">
        <v>107.0</v>
      </c>
      <c r="D4" s="22">
        <v>170.0</v>
      </c>
      <c r="E4" s="22">
        <v>87807.0</v>
      </c>
      <c r="F4" s="22">
        <v>31636.0</v>
      </c>
      <c r="G4" s="22">
        <v>39136.0</v>
      </c>
      <c r="H4" s="22">
        <v>158749.0</v>
      </c>
      <c r="I4" s="23">
        <f>H4/H27</f>
        <v>0.1747853842</v>
      </c>
      <c r="J4" s="22">
        <f t="shared" ref="J4:J26" si="1">H4/64</f>
        <v>2480.453125</v>
      </c>
      <c r="K4" s="22">
        <f t="shared" ref="K4:K26" si="2">J4*47</f>
        <v>116581.2969</v>
      </c>
      <c r="L4" s="22">
        <f>L27*I4</f>
        <v>131089.0382</v>
      </c>
      <c r="M4" s="22">
        <v>100000.0</v>
      </c>
      <c r="N4" s="24">
        <f t="shared" ref="N4:N26" si="3">M4/47</f>
        <v>2127.659574</v>
      </c>
      <c r="O4" s="22"/>
      <c r="P4" s="25"/>
    </row>
    <row r="5">
      <c r="A5" s="19" t="s">
        <v>24</v>
      </c>
      <c r="B5" s="20" t="s">
        <v>25</v>
      </c>
      <c r="C5" s="21">
        <v>35.0</v>
      </c>
      <c r="D5" s="22">
        <v>0.0</v>
      </c>
      <c r="E5" s="22">
        <v>71051.0</v>
      </c>
      <c r="F5" s="22">
        <v>31459.0</v>
      </c>
      <c r="G5" s="22">
        <v>50760.0</v>
      </c>
      <c r="H5" s="22">
        <v>153270.0</v>
      </c>
      <c r="I5" s="23">
        <f>H5/H27</f>
        <v>0.1687529108</v>
      </c>
      <c r="J5" s="22">
        <f t="shared" si="1"/>
        <v>2394.84375</v>
      </c>
      <c r="K5" s="22">
        <f t="shared" si="2"/>
        <v>112557.6563</v>
      </c>
      <c r="L5" s="22">
        <f>L27*I5</f>
        <v>126564.6831</v>
      </c>
      <c r="M5" s="22">
        <v>100000.0</v>
      </c>
      <c r="N5" s="24">
        <f t="shared" si="3"/>
        <v>2127.659574</v>
      </c>
      <c r="O5" s="22"/>
      <c r="P5" s="25"/>
    </row>
    <row r="6">
      <c r="A6" s="19" t="s">
        <v>26</v>
      </c>
      <c r="B6" s="20" t="s">
        <v>27</v>
      </c>
      <c r="C6" s="21">
        <v>27.0</v>
      </c>
      <c r="D6" s="22">
        <v>0.0</v>
      </c>
      <c r="E6" s="22">
        <v>25167.0</v>
      </c>
      <c r="F6" s="22">
        <v>20911.0</v>
      </c>
      <c r="G6" s="22">
        <v>39016.0</v>
      </c>
      <c r="H6" s="22">
        <v>85094.0</v>
      </c>
      <c r="I6" s="23">
        <f>H6/H27</f>
        <v>0.09368996015</v>
      </c>
      <c r="J6" s="22">
        <f t="shared" si="1"/>
        <v>1329.59375</v>
      </c>
      <c r="K6" s="22">
        <f t="shared" si="2"/>
        <v>62490.90625</v>
      </c>
      <c r="L6" s="22">
        <f>L27*I6</f>
        <v>70267.47012</v>
      </c>
      <c r="M6" s="22">
        <v>70000.0</v>
      </c>
      <c r="N6" s="24">
        <f t="shared" si="3"/>
        <v>1489.361702</v>
      </c>
      <c r="O6" s="22"/>
      <c r="P6" s="25"/>
    </row>
    <row r="7">
      <c r="A7" s="19" t="s">
        <v>28</v>
      </c>
      <c r="B7" s="20" t="s">
        <v>29</v>
      </c>
      <c r="C7" s="21">
        <v>49.0</v>
      </c>
      <c r="D7" s="22">
        <v>0.0</v>
      </c>
      <c r="E7" s="22">
        <v>34603.0</v>
      </c>
      <c r="F7" s="22">
        <v>14164.0</v>
      </c>
      <c r="G7" s="22">
        <v>14969.0</v>
      </c>
      <c r="H7" s="22">
        <v>63736.0</v>
      </c>
      <c r="I7" s="23">
        <f>H7/H27</f>
        <v>0.07017443416</v>
      </c>
      <c r="J7" s="22">
        <f t="shared" si="1"/>
        <v>995.875</v>
      </c>
      <c r="K7" s="22">
        <f t="shared" si="2"/>
        <v>46806.125</v>
      </c>
      <c r="L7" s="22">
        <f>L27*I7</f>
        <v>52630.82562</v>
      </c>
      <c r="M7" s="22">
        <v>50000.0</v>
      </c>
      <c r="N7" s="24">
        <f t="shared" si="3"/>
        <v>1063.829787</v>
      </c>
      <c r="O7" s="22"/>
      <c r="P7" s="25"/>
    </row>
    <row r="8">
      <c r="A8" s="19" t="s">
        <v>30</v>
      </c>
      <c r="B8" s="20" t="s">
        <v>31</v>
      </c>
      <c r="C8" s="21">
        <v>70.0</v>
      </c>
      <c r="D8" s="22">
        <v>0.0</v>
      </c>
      <c r="E8" s="22">
        <v>26506.0</v>
      </c>
      <c r="F8" s="22">
        <v>13036.0</v>
      </c>
      <c r="G8" s="22">
        <v>18550.0</v>
      </c>
      <c r="H8" s="22">
        <v>58092.0</v>
      </c>
      <c r="I8" s="23">
        <f>H8/H27</f>
        <v>0.06396029291</v>
      </c>
      <c r="J8" s="22">
        <f t="shared" si="1"/>
        <v>907.6875</v>
      </c>
      <c r="K8" s="22">
        <f t="shared" si="2"/>
        <v>42661.3125</v>
      </c>
      <c r="L8" s="22">
        <f>L27*I8</f>
        <v>47970.21969</v>
      </c>
      <c r="M8" s="22">
        <v>50000.0</v>
      </c>
      <c r="N8" s="24">
        <f t="shared" si="3"/>
        <v>1063.829787</v>
      </c>
      <c r="O8" s="22"/>
      <c r="P8" s="25"/>
    </row>
    <row r="9">
      <c r="A9" s="19" t="s">
        <v>32</v>
      </c>
      <c r="B9" s="20" t="s">
        <v>33</v>
      </c>
      <c r="C9" s="21">
        <v>50.0</v>
      </c>
      <c r="D9" s="22">
        <v>0.0</v>
      </c>
      <c r="E9" s="22">
        <v>19553.0</v>
      </c>
      <c r="F9" s="22">
        <v>16926.0</v>
      </c>
      <c r="G9" s="22">
        <v>16638.0</v>
      </c>
      <c r="H9" s="22">
        <v>53117.0</v>
      </c>
      <c r="I9" s="23">
        <f>H9/H27</f>
        <v>0.0584827322</v>
      </c>
      <c r="J9" s="22">
        <f t="shared" si="1"/>
        <v>829.953125</v>
      </c>
      <c r="K9" s="22">
        <f t="shared" si="2"/>
        <v>39007.79688</v>
      </c>
      <c r="L9" s="22">
        <f>L27*I9</f>
        <v>43862.04915</v>
      </c>
      <c r="M9" s="22">
        <v>45000.0</v>
      </c>
      <c r="N9" s="24">
        <f t="shared" si="3"/>
        <v>957.4468085</v>
      </c>
      <c r="O9" s="22"/>
      <c r="P9" s="25"/>
    </row>
    <row r="10">
      <c r="A10" s="19" t="s">
        <v>34</v>
      </c>
      <c r="B10" s="20" t="s">
        <v>35</v>
      </c>
      <c r="C10" s="21">
        <v>30.0</v>
      </c>
      <c r="D10" s="22">
        <v>0.0</v>
      </c>
      <c r="E10" s="22">
        <v>33921.0</v>
      </c>
      <c r="F10" s="22">
        <v>6443.0</v>
      </c>
      <c r="G10" s="22">
        <v>11901.0</v>
      </c>
      <c r="H10" s="22">
        <v>52265.0</v>
      </c>
      <c r="I10" s="23">
        <f>H10/H27</f>
        <v>0.05754466552</v>
      </c>
      <c r="J10" s="22">
        <f t="shared" si="1"/>
        <v>816.640625</v>
      </c>
      <c r="K10" s="22">
        <f t="shared" si="2"/>
        <v>38382.10938</v>
      </c>
      <c r="L10" s="22">
        <f>L27*I10</f>
        <v>43158.49914</v>
      </c>
      <c r="M10" s="22">
        <v>45000.0</v>
      </c>
      <c r="N10" s="24">
        <f t="shared" si="3"/>
        <v>957.4468085</v>
      </c>
      <c r="O10" s="22"/>
      <c r="P10" s="25"/>
    </row>
    <row r="11">
      <c r="A11" s="19" t="s">
        <v>36</v>
      </c>
      <c r="B11" s="20" t="s">
        <v>37</v>
      </c>
      <c r="C11" s="21">
        <v>41.0</v>
      </c>
      <c r="D11" s="22">
        <v>0.0</v>
      </c>
      <c r="E11" s="22">
        <v>20241.0</v>
      </c>
      <c r="F11" s="22">
        <v>11939.0</v>
      </c>
      <c r="G11" s="22">
        <v>17484.0</v>
      </c>
      <c r="H11" s="22">
        <v>49664.0</v>
      </c>
      <c r="I11" s="23">
        <f>H11/H27</f>
        <v>0.0546809197</v>
      </c>
      <c r="J11" s="22">
        <f t="shared" si="1"/>
        <v>776</v>
      </c>
      <c r="K11" s="22">
        <f t="shared" si="2"/>
        <v>36472</v>
      </c>
      <c r="L11" s="22">
        <f>L27*I11</f>
        <v>41010.68978</v>
      </c>
      <c r="M11" s="22">
        <v>45000.0</v>
      </c>
      <c r="N11" s="24">
        <f t="shared" si="3"/>
        <v>957.4468085</v>
      </c>
      <c r="O11" s="22"/>
      <c r="P11" s="25"/>
    </row>
    <row r="12">
      <c r="A12" s="19" t="s">
        <v>38</v>
      </c>
      <c r="B12" s="20" t="s">
        <v>39</v>
      </c>
      <c r="C12" s="21">
        <v>44.0</v>
      </c>
      <c r="D12" s="22">
        <v>425.0</v>
      </c>
      <c r="E12" s="22">
        <v>13051.0</v>
      </c>
      <c r="F12" s="22">
        <v>5820.0</v>
      </c>
      <c r="G12" s="22">
        <v>12831.0</v>
      </c>
      <c r="H12" s="22">
        <v>32127.0</v>
      </c>
      <c r="I12" s="23">
        <f>H12/H27</f>
        <v>0.03537238054</v>
      </c>
      <c r="J12" s="22">
        <f t="shared" si="1"/>
        <v>501.984375</v>
      </c>
      <c r="K12" s="22">
        <f t="shared" si="2"/>
        <v>23593.26563</v>
      </c>
      <c r="L12" s="22">
        <f>L27*I12</f>
        <v>26529.28541</v>
      </c>
      <c r="M12" s="22">
        <v>30000.0</v>
      </c>
      <c r="N12" s="24">
        <f t="shared" si="3"/>
        <v>638.2978723</v>
      </c>
      <c r="O12" s="22"/>
      <c r="P12" s="25"/>
    </row>
    <row r="13">
      <c r="A13" s="19" t="s">
        <v>40</v>
      </c>
      <c r="B13" s="20" t="s">
        <v>41</v>
      </c>
      <c r="C13" s="21">
        <v>37.0</v>
      </c>
      <c r="D13" s="22">
        <v>0.0</v>
      </c>
      <c r="E13" s="22">
        <v>17978.0</v>
      </c>
      <c r="F13" s="22">
        <v>9589.0</v>
      </c>
      <c r="G13" s="22">
        <v>4089.0</v>
      </c>
      <c r="H13" s="22">
        <v>31656.0</v>
      </c>
      <c r="I13" s="23">
        <f>H13/H27</f>
        <v>0.03485380143</v>
      </c>
      <c r="J13" s="22">
        <f t="shared" si="1"/>
        <v>494.625</v>
      </c>
      <c r="K13" s="22">
        <f t="shared" si="2"/>
        <v>23247.375</v>
      </c>
      <c r="L13" s="22">
        <f>L27*I13</f>
        <v>26140.35107</v>
      </c>
      <c r="M13" s="22">
        <v>30000.0</v>
      </c>
      <c r="N13" s="24">
        <f t="shared" si="3"/>
        <v>638.2978723</v>
      </c>
      <c r="O13" s="22"/>
      <c r="P13" s="25"/>
    </row>
    <row r="14">
      <c r="A14" s="19" t="s">
        <v>42</v>
      </c>
      <c r="B14" s="20" t="s">
        <v>43</v>
      </c>
      <c r="C14" s="21">
        <v>40.0</v>
      </c>
      <c r="D14" s="22">
        <v>0.0</v>
      </c>
      <c r="E14" s="22">
        <v>10407.0</v>
      </c>
      <c r="F14" s="22">
        <v>8212.0</v>
      </c>
      <c r="G14" s="22">
        <v>9306.0</v>
      </c>
      <c r="H14" s="22">
        <v>27925.0</v>
      </c>
      <c r="I14" s="23">
        <f>H14/H27</f>
        <v>0.03074590614</v>
      </c>
      <c r="J14" s="22">
        <f t="shared" si="1"/>
        <v>436.328125</v>
      </c>
      <c r="K14" s="22">
        <f t="shared" si="2"/>
        <v>20507.42188</v>
      </c>
      <c r="L14" s="22">
        <f>L27*I14</f>
        <v>23059.42961</v>
      </c>
      <c r="M14" s="22">
        <v>30000.0</v>
      </c>
      <c r="N14" s="24">
        <f t="shared" si="3"/>
        <v>638.2978723</v>
      </c>
      <c r="O14" s="22"/>
      <c r="P14" s="25"/>
    </row>
    <row r="15">
      <c r="A15" s="19" t="s">
        <v>44</v>
      </c>
      <c r="B15" s="20" t="s">
        <v>45</v>
      </c>
      <c r="C15" s="21">
        <v>29.0</v>
      </c>
      <c r="D15" s="22">
        <v>0.0</v>
      </c>
      <c r="E15" s="22">
        <v>10290.0</v>
      </c>
      <c r="F15" s="22">
        <v>5424.0</v>
      </c>
      <c r="G15" s="22">
        <v>11928.0</v>
      </c>
      <c r="H15" s="22">
        <v>27642.0</v>
      </c>
      <c r="I15" s="23">
        <f>H15/H27</f>
        <v>0.03043431827</v>
      </c>
      <c r="J15" s="22">
        <f t="shared" si="1"/>
        <v>431.90625</v>
      </c>
      <c r="K15" s="22">
        <f t="shared" si="2"/>
        <v>20299.59375</v>
      </c>
      <c r="L15" s="22">
        <f>L27*I15</f>
        <v>22825.7387</v>
      </c>
      <c r="M15" s="22">
        <v>30000.0</v>
      </c>
      <c r="N15" s="24">
        <f t="shared" si="3"/>
        <v>638.2978723</v>
      </c>
      <c r="O15" s="22"/>
      <c r="P15" s="25"/>
    </row>
    <row r="16">
      <c r="A16" s="19" t="s">
        <v>46</v>
      </c>
      <c r="B16" s="20" t="s">
        <v>47</v>
      </c>
      <c r="C16" s="21">
        <v>28.0</v>
      </c>
      <c r="D16" s="22">
        <v>0.0</v>
      </c>
      <c r="E16" s="22">
        <v>12950.0</v>
      </c>
      <c r="F16" s="22">
        <v>5898.0</v>
      </c>
      <c r="G16" s="22">
        <v>8319.0</v>
      </c>
      <c r="H16" s="22">
        <v>27167.0</v>
      </c>
      <c r="I16" s="23">
        <f>H16/H27</f>
        <v>0.02991133508</v>
      </c>
      <c r="J16" s="22">
        <f t="shared" si="1"/>
        <v>424.484375</v>
      </c>
      <c r="K16" s="22">
        <f t="shared" si="2"/>
        <v>19950.76563</v>
      </c>
      <c r="L16" s="22">
        <f>L27*I16</f>
        <v>22433.50131</v>
      </c>
      <c r="M16" s="22">
        <v>30000.0</v>
      </c>
      <c r="N16" s="24">
        <f t="shared" si="3"/>
        <v>638.2978723</v>
      </c>
      <c r="O16" s="22"/>
      <c r="P16" s="25"/>
    </row>
    <row r="17">
      <c r="A17" s="19" t="s">
        <v>48</v>
      </c>
      <c r="B17" s="20" t="s">
        <v>49</v>
      </c>
      <c r="C17" s="21">
        <v>28.0</v>
      </c>
      <c r="D17" s="22">
        <v>0.0</v>
      </c>
      <c r="E17" s="22">
        <v>9682.0</v>
      </c>
      <c r="F17" s="22">
        <v>4077.0</v>
      </c>
      <c r="G17" s="22">
        <v>9704.0</v>
      </c>
      <c r="H17" s="22">
        <v>23463.0</v>
      </c>
      <c r="I17" s="23">
        <f>H17/H27</f>
        <v>0.02583316726</v>
      </c>
      <c r="J17" s="22">
        <f t="shared" si="1"/>
        <v>366.609375</v>
      </c>
      <c r="K17" s="22">
        <f t="shared" si="2"/>
        <v>17230.64063</v>
      </c>
      <c r="L17" s="22">
        <f>L27*I17</f>
        <v>19374.87545</v>
      </c>
      <c r="M17" s="22">
        <v>20000.0</v>
      </c>
      <c r="N17" s="24">
        <f t="shared" si="3"/>
        <v>425.5319149</v>
      </c>
      <c r="O17" s="22"/>
      <c r="P17" s="25"/>
    </row>
    <row r="18">
      <c r="A18" s="19" t="s">
        <v>50</v>
      </c>
      <c r="B18" s="20" t="s">
        <v>51</v>
      </c>
      <c r="C18" s="21">
        <v>19.0</v>
      </c>
      <c r="D18" s="22">
        <v>152.0</v>
      </c>
      <c r="E18" s="22">
        <v>3874.0</v>
      </c>
      <c r="F18" s="22">
        <v>5926.0</v>
      </c>
      <c r="G18" s="22">
        <v>4893.0</v>
      </c>
      <c r="H18" s="22">
        <v>14845.0</v>
      </c>
      <c r="I18" s="23">
        <f>H18/H27</f>
        <v>0.01634460078</v>
      </c>
      <c r="J18" s="22">
        <f t="shared" si="1"/>
        <v>231.953125</v>
      </c>
      <c r="K18" s="22">
        <f t="shared" si="2"/>
        <v>10901.79688</v>
      </c>
      <c r="L18" s="22">
        <f>L27*I18</f>
        <v>12258.45058</v>
      </c>
      <c r="M18" s="22">
        <v>25000.0</v>
      </c>
      <c r="N18" s="24">
        <f t="shared" si="3"/>
        <v>531.9148936</v>
      </c>
      <c r="O18" s="22"/>
      <c r="P18" s="25"/>
    </row>
    <row r="19">
      <c r="A19" s="19" t="s">
        <v>52</v>
      </c>
      <c r="B19" s="20" t="s">
        <v>53</v>
      </c>
      <c r="C19" s="21">
        <v>30.0</v>
      </c>
      <c r="D19" s="22">
        <v>0.0</v>
      </c>
      <c r="E19" s="22">
        <v>7352.0</v>
      </c>
      <c r="F19" s="22">
        <v>2820.0</v>
      </c>
      <c r="G19" s="22">
        <v>3666.0</v>
      </c>
      <c r="H19" s="22">
        <v>13838.0</v>
      </c>
      <c r="I19" s="23">
        <f>H19/H27</f>
        <v>0.01523587643</v>
      </c>
      <c r="J19" s="22">
        <f t="shared" si="1"/>
        <v>216.21875</v>
      </c>
      <c r="K19" s="22">
        <f t="shared" si="2"/>
        <v>10162.28125</v>
      </c>
      <c r="L19" s="22">
        <f>L27*I19</f>
        <v>11426.90732</v>
      </c>
      <c r="M19" s="22">
        <v>20000.0</v>
      </c>
      <c r="N19" s="24">
        <f t="shared" si="3"/>
        <v>425.5319149</v>
      </c>
      <c r="O19" s="22"/>
      <c r="P19" s="25"/>
    </row>
    <row r="20">
      <c r="A20" s="19" t="s">
        <v>54</v>
      </c>
      <c r="B20" s="20" t="s">
        <v>55</v>
      </c>
      <c r="C20" s="21">
        <v>12.0</v>
      </c>
      <c r="D20" s="22">
        <v>0.0</v>
      </c>
      <c r="E20" s="22">
        <v>4858.0</v>
      </c>
      <c r="F20" s="22">
        <v>3240.0</v>
      </c>
      <c r="G20" s="22">
        <v>3934.0</v>
      </c>
      <c r="H20" s="22">
        <v>12032.0</v>
      </c>
      <c r="I20" s="23">
        <f>H20/H27</f>
        <v>0.01324743931</v>
      </c>
      <c r="J20" s="22">
        <f t="shared" si="1"/>
        <v>188</v>
      </c>
      <c r="K20" s="22">
        <f t="shared" si="2"/>
        <v>8836</v>
      </c>
      <c r="L20" s="22">
        <f>L27*I20</f>
        <v>9935.579482</v>
      </c>
      <c r="M20" s="22">
        <v>20000.0</v>
      </c>
      <c r="N20" s="24">
        <f t="shared" si="3"/>
        <v>425.5319149</v>
      </c>
      <c r="O20" s="22"/>
      <c r="P20" s="25"/>
    </row>
    <row r="21" ht="15.75" customHeight="1">
      <c r="A21" s="19" t="s">
        <v>56</v>
      </c>
      <c r="B21" s="20" t="s">
        <v>57</v>
      </c>
      <c r="C21" s="21">
        <v>16.0</v>
      </c>
      <c r="D21" s="22">
        <v>0.0</v>
      </c>
      <c r="E21" s="22">
        <v>4232.0</v>
      </c>
      <c r="F21" s="22">
        <v>1665.0</v>
      </c>
      <c r="G21" s="22">
        <v>564.0</v>
      </c>
      <c r="H21" s="22">
        <v>6461.0</v>
      </c>
      <c r="I21" s="23">
        <f>H21/H27</f>
        <v>0.007113672322</v>
      </c>
      <c r="J21" s="22">
        <f t="shared" si="1"/>
        <v>100.953125</v>
      </c>
      <c r="K21" s="22">
        <f t="shared" si="2"/>
        <v>4744.796875</v>
      </c>
      <c r="L21" s="22">
        <f>L27*I21</f>
        <v>5335.254241</v>
      </c>
      <c r="M21" s="22">
        <v>20000.0</v>
      </c>
      <c r="N21" s="24">
        <f t="shared" si="3"/>
        <v>425.5319149</v>
      </c>
      <c r="O21" s="22"/>
      <c r="P21" s="25"/>
    </row>
    <row r="22" ht="15.75" customHeight="1">
      <c r="A22" s="19" t="s">
        <v>58</v>
      </c>
      <c r="B22" s="20" t="s">
        <v>59</v>
      </c>
      <c r="C22" s="21">
        <v>12.0</v>
      </c>
      <c r="D22" s="22">
        <v>252.0</v>
      </c>
      <c r="E22" s="22">
        <v>3067.0</v>
      </c>
      <c r="F22" s="22">
        <v>1531.0</v>
      </c>
      <c r="G22" s="22">
        <v>1082.0</v>
      </c>
      <c r="H22" s="22">
        <v>5932.0</v>
      </c>
      <c r="I22" s="23">
        <f>H22/H27</f>
        <v>0.006531234207</v>
      </c>
      <c r="J22" s="22">
        <f t="shared" si="1"/>
        <v>92.6875</v>
      </c>
      <c r="K22" s="22">
        <f t="shared" si="2"/>
        <v>4356.3125</v>
      </c>
      <c r="L22" s="22">
        <f>L27*I22</f>
        <v>4898.425655</v>
      </c>
      <c r="M22" s="22">
        <v>20000.0</v>
      </c>
      <c r="N22" s="24">
        <f t="shared" si="3"/>
        <v>425.5319149</v>
      </c>
      <c r="O22" s="22"/>
      <c r="P22" s="25"/>
    </row>
    <row r="23" ht="15.75" customHeight="1">
      <c r="A23" s="26" t="s">
        <v>60</v>
      </c>
      <c r="B23" s="27" t="s">
        <v>61</v>
      </c>
      <c r="C23" s="28">
        <v>4.0</v>
      </c>
      <c r="D23" s="29">
        <v>0.0</v>
      </c>
      <c r="E23" s="29">
        <v>4683.0</v>
      </c>
      <c r="F23" s="29">
        <v>705.0</v>
      </c>
      <c r="G23" s="29">
        <v>259.0</v>
      </c>
      <c r="H23" s="29">
        <v>5647.0</v>
      </c>
      <c r="I23" s="30">
        <f>H23/H27</f>
        <v>0.006217444297</v>
      </c>
      <c r="J23" s="29">
        <f t="shared" si="1"/>
        <v>88.234375</v>
      </c>
      <c r="K23" s="29">
        <f t="shared" si="2"/>
        <v>4147.015625</v>
      </c>
      <c r="L23" s="29">
        <f>L27*I23</f>
        <v>4663.083223</v>
      </c>
      <c r="M23" s="29">
        <v>5000.0</v>
      </c>
      <c r="N23" s="24">
        <f t="shared" si="3"/>
        <v>106.3829787</v>
      </c>
      <c r="O23" s="22"/>
      <c r="P23" s="25"/>
    </row>
    <row r="24" ht="15.75" customHeight="1">
      <c r="A24" s="26" t="s">
        <v>62</v>
      </c>
      <c r="B24" s="27" t="s">
        <v>63</v>
      </c>
      <c r="C24" s="28">
        <v>9.0</v>
      </c>
      <c r="D24" s="29">
        <v>0.0</v>
      </c>
      <c r="E24" s="29">
        <v>1777.0</v>
      </c>
      <c r="F24" s="29">
        <v>989.0</v>
      </c>
      <c r="G24" s="29">
        <v>705.0</v>
      </c>
      <c r="H24" s="29">
        <v>3471.0</v>
      </c>
      <c r="I24" s="30">
        <f>H24/H27</f>
        <v>0.003821630805</v>
      </c>
      <c r="J24" s="29">
        <f t="shared" si="1"/>
        <v>54.234375</v>
      </c>
      <c r="K24" s="29">
        <f t="shared" si="2"/>
        <v>2549.015625</v>
      </c>
      <c r="L24" s="29">
        <f>L27*I24</f>
        <v>2866.223104</v>
      </c>
      <c r="M24" s="29">
        <v>5000.0</v>
      </c>
      <c r="N24" s="24">
        <f t="shared" si="3"/>
        <v>106.3829787</v>
      </c>
      <c r="O24" s="22"/>
      <c r="P24" s="25"/>
    </row>
    <row r="25" ht="15.75" customHeight="1">
      <c r="A25" s="26" t="s">
        <v>64</v>
      </c>
      <c r="B25" s="27" t="s">
        <v>65</v>
      </c>
      <c r="C25" s="28">
        <v>3.0</v>
      </c>
      <c r="D25" s="29">
        <v>0.0</v>
      </c>
      <c r="E25" s="29">
        <v>762.0</v>
      </c>
      <c r="F25" s="29">
        <v>282.0</v>
      </c>
      <c r="G25" s="29">
        <v>423.0</v>
      </c>
      <c r="H25" s="29">
        <v>1467.0</v>
      </c>
      <c r="I25" s="30">
        <f>H25/H27</f>
        <v>0.001615192276</v>
      </c>
      <c r="J25" s="29">
        <f t="shared" si="1"/>
        <v>22.921875</v>
      </c>
      <c r="K25" s="29">
        <f t="shared" si="2"/>
        <v>1077.328125</v>
      </c>
      <c r="L25" s="29">
        <f>L27*I25</f>
        <v>1211.394207</v>
      </c>
      <c r="M25" s="29">
        <v>5000.0</v>
      </c>
      <c r="N25" s="24">
        <f t="shared" si="3"/>
        <v>106.3829787</v>
      </c>
      <c r="O25" s="22"/>
      <c r="P25" s="25"/>
    </row>
    <row r="26" ht="15.75" customHeight="1">
      <c r="A26" s="26" t="s">
        <v>66</v>
      </c>
      <c r="B26" s="27" t="s">
        <v>67</v>
      </c>
      <c r="C26" s="28">
        <v>1.0</v>
      </c>
      <c r="D26" s="29">
        <v>0.0</v>
      </c>
      <c r="E26" s="29">
        <v>0.0</v>
      </c>
      <c r="F26" s="29">
        <v>85.0</v>
      </c>
      <c r="G26" s="29">
        <v>0.0</v>
      </c>
      <c r="H26" s="29">
        <v>85.0</v>
      </c>
      <c r="I26" s="30">
        <f>H26/H27</f>
        <v>0.00009358646453</v>
      </c>
      <c r="J26" s="29">
        <f t="shared" si="1"/>
        <v>1.328125</v>
      </c>
      <c r="K26" s="29">
        <f t="shared" si="2"/>
        <v>62.421875</v>
      </c>
      <c r="L26" s="29">
        <f>L27*I26</f>
        <v>70.1898484</v>
      </c>
      <c r="M26" s="29">
        <v>5000.0</v>
      </c>
      <c r="N26" s="24">
        <f t="shared" si="3"/>
        <v>106.3829787</v>
      </c>
      <c r="O26" s="22"/>
      <c r="P26" s="25"/>
    </row>
    <row r="27" ht="15.75" customHeight="1">
      <c r="A27" s="31">
        <v>23.0</v>
      </c>
      <c r="B27" s="32">
        <v>19.0</v>
      </c>
      <c r="C27" s="32">
        <f>SUM(C4:C26)</f>
        <v>721</v>
      </c>
      <c r="D27" s="33">
        <v>1251.0</v>
      </c>
      <c r="E27" s="33">
        <v>424066.0</v>
      </c>
      <c r="F27" s="33">
        <v>202777.0</v>
      </c>
      <c r="G27" s="33">
        <v>280157.0</v>
      </c>
      <c r="H27" s="33">
        <v>908251.0</v>
      </c>
      <c r="I27" s="34">
        <v>1.0</v>
      </c>
      <c r="J27" s="33">
        <f t="shared" ref="J27:K27" si="4">SUM(J4:J26)</f>
        <v>14183.51563</v>
      </c>
      <c r="K27" s="33">
        <f t="shared" si="4"/>
        <v>666625.2344</v>
      </c>
      <c r="L27" s="33">
        <v>750000.0</v>
      </c>
      <c r="M27" s="33">
        <v>780000.0</v>
      </c>
      <c r="N27" s="35">
        <f>SUM(N4:N26)</f>
        <v>17021.2766</v>
      </c>
      <c r="O27" s="33"/>
      <c r="P27" s="36"/>
    </row>
    <row r="28" ht="15.75" customHeight="1">
      <c r="M28" s="37" t="s">
        <v>68</v>
      </c>
      <c r="N28" s="38">
        <f>N27*47</f>
        <v>800000</v>
      </c>
      <c r="O28" s="38"/>
      <c r="P28" s="3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E1"/>
    <mergeCell ref="F1:G1"/>
    <mergeCell ref="F2:G2"/>
  </mergeCells>
  <printOptions/>
  <pageMargins bottom="0.75" footer="0.0" header="0.0" left="0.7" right="0.7" top="0.75"/>
  <pageSetup orientation="landscape"/>
  <drawing r:id="rId1"/>
</worksheet>
</file>