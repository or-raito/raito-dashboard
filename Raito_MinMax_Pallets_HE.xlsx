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קירה כללית" sheetId="1" state="visible" r:id="rId1"/>
    <sheet xmlns:r="http://schemas.openxmlformats.org/officeDocument/2006/relationships" name="מודל מינימום-מקסימום" sheetId="2" state="visible" r:id="rId2"/>
    <sheet xmlns:r="http://schemas.openxmlformats.org/officeDocument/2006/relationships" name="תכנית מעבר - מאי" sheetId="3" state="visible" r:id="rId3"/>
    <sheet xmlns:r="http://schemas.openxmlformats.org/officeDocument/2006/relationships" name="ניתוח רגישות - פיסטו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1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375623"/>
      <sz val="9"/>
    </font>
    <font>
      <name val="Arial"/>
      <b val="1"/>
      <color rgb="00FF8C0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000000"/>
      <sz val="8"/>
    </font>
    <font>
      <name val="Arial"/>
      <b val="1"/>
      <color rgb="00FFFFFF"/>
      <sz val="14"/>
    </font>
    <font>
      <name val="Arial"/>
      <color rgb="000000FF"/>
      <sz val="10"/>
    </font>
    <font>
      <name val="Arial"/>
      <i val="1"/>
      <color rgb="00000000"/>
      <sz val="9"/>
    </font>
    <font>
      <name val="Arial"/>
      <sz val="10"/>
    </font>
    <font>
      <name val="Arial"/>
      <b val="1"/>
      <color rgb="001F3864"/>
      <sz val="10"/>
    </font>
    <font>
      <name val="Arial"/>
      <i val="1"/>
      <color rgb="00595959"/>
      <sz val="9"/>
    </font>
    <font>
      <name val="Arial"/>
      <b val="1"/>
      <color rgb="00C00000"/>
      <sz val="10"/>
    </font>
    <font>
      <name val="Arial"/>
      <b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3" borderId="0" applyAlignment="1" pivotButton="0" quotePrefix="0" xfId="0">
      <alignment horizontal="center" vertical="center" readingOrder="2"/>
    </xf>
    <xf numFmtId="0" fontId="4" fillId="2" borderId="1" applyAlignment="1" pivotButton="0" quotePrefix="0" xfId="0">
      <alignment horizontal="center" vertical="center" wrapText="1" readingOrder="2"/>
    </xf>
    <xf numFmtId="0" fontId="5" fillId="4" borderId="1" applyAlignment="1" pivotButton="0" quotePrefix="0" xfId="0">
      <alignment horizontal="right" vertical="center" readingOrder="2"/>
    </xf>
    <xf numFmtId="164" fontId="6" fillId="4" borderId="1" applyAlignment="1" pivotButton="0" quotePrefix="0" xfId="0">
      <alignment horizontal="center" vertical="center" readingOrder="2"/>
    </xf>
    <xf numFmtId="164" fontId="5" fillId="0" borderId="1" applyAlignment="1" pivotButton="0" quotePrefix="0" xfId="0">
      <alignment horizontal="center" vertical="center" readingOrder="2"/>
    </xf>
    <xf numFmtId="1" fontId="6" fillId="0" borderId="1" applyAlignment="1" pivotButton="0" quotePrefix="0" xfId="0">
      <alignment horizontal="center" vertical="center" readingOrder="2"/>
    </xf>
    <xf numFmtId="164" fontId="6" fillId="0" borderId="1" applyAlignment="1" pivotButton="0" quotePrefix="0" xfId="0">
      <alignment horizontal="center" vertical="center" readingOrder="2"/>
    </xf>
    <xf numFmtId="0" fontId="7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right" vertical="center" readingOrder="2"/>
    </xf>
    <xf numFmtId="164" fontId="6" fillId="6" borderId="1" applyAlignment="1" pivotButton="0" quotePrefix="0" xfId="0">
      <alignment horizontal="center" vertical="center" readingOrder="2"/>
    </xf>
    <xf numFmtId="0" fontId="8" fillId="7" borderId="1" applyAlignment="1" pivotButton="0" quotePrefix="0" xfId="0">
      <alignment horizontal="center" vertical="center" readingOrder="2"/>
    </xf>
    <xf numFmtId="0" fontId="5" fillId="8" borderId="1" applyAlignment="1" pivotButton="0" quotePrefix="0" xfId="0">
      <alignment horizontal="right" vertical="center" readingOrder="2"/>
    </xf>
    <xf numFmtId="164" fontId="6" fillId="8" borderId="1" applyAlignment="1" pivotButton="0" quotePrefix="0" xfId="0">
      <alignment horizontal="center" vertical="center" readingOrder="2"/>
    </xf>
    <xf numFmtId="0" fontId="5" fillId="7" borderId="1" applyAlignment="1" pivotButton="0" quotePrefix="0" xfId="0">
      <alignment horizontal="right" vertical="center" readingOrder="2"/>
    </xf>
    <xf numFmtId="164" fontId="6" fillId="7" borderId="1" applyAlignment="1" pivotButton="0" quotePrefix="0" xfId="0">
      <alignment horizontal="center" vertical="center" readingOrder="2"/>
    </xf>
    <xf numFmtId="0" fontId="9" fillId="2" borderId="1" applyAlignment="1" pivotButton="0" quotePrefix="0" xfId="0">
      <alignment horizontal="center" vertical="center" readingOrder="2"/>
    </xf>
    <xf numFmtId="164" fontId="10" fillId="4" borderId="1" applyAlignment="1" pivotButton="0" quotePrefix="0" xfId="0">
      <alignment horizontal="center" vertical="center" readingOrder="2"/>
    </xf>
    <xf numFmtId="0" fontId="0" fillId="0" borderId="1" pivotButton="0" quotePrefix="0" xfId="0"/>
    <xf numFmtId="0" fontId="4" fillId="2" borderId="0" applyAlignment="1" pivotButton="0" quotePrefix="0" xfId="0">
      <alignment horizontal="center" vertical="center" readingOrder="2"/>
    </xf>
    <xf numFmtId="0" fontId="11" fillId="6" borderId="0" applyAlignment="1" pivotButton="0" quotePrefix="0" xfId="0">
      <alignment horizontal="center" vertical="center" readingOrder="2"/>
    </xf>
    <xf numFmtId="0" fontId="12" fillId="6" borderId="0" applyAlignment="1" pivotButton="0" quotePrefix="0" xfId="0">
      <alignment horizontal="right" vertical="center" readingOrder="2"/>
    </xf>
    <xf numFmtId="0" fontId="13" fillId="6" borderId="0" applyAlignment="1" pivotButton="0" quotePrefix="0" xfId="0">
      <alignment horizontal="right" vertical="center" readingOrder="2"/>
    </xf>
    <xf numFmtId="0" fontId="14" fillId="2" borderId="0" applyAlignment="1" pivotButton="0" quotePrefix="0" xfId="0">
      <alignment horizontal="center" vertical="center" readingOrder="2"/>
    </xf>
    <xf numFmtId="0" fontId="3" fillId="3" borderId="1" applyAlignment="1" pivotButton="0" quotePrefix="0" xfId="0">
      <alignment horizontal="center" vertical="center" readingOrder="2"/>
    </xf>
    <xf numFmtId="3" fontId="15" fillId="9" borderId="1" applyAlignment="1" pivotButton="0" quotePrefix="0" xfId="0">
      <alignment horizontal="center" vertical="center" readingOrder="2"/>
    </xf>
    <xf numFmtId="0" fontId="16" fillId="6" borderId="1" applyAlignment="1" pivotButton="0" quotePrefix="0" xfId="0">
      <alignment horizontal="right" vertical="center" readingOrder="2"/>
    </xf>
    <xf numFmtId="1" fontId="15" fillId="9" borderId="1" applyAlignment="1" pivotButton="0" quotePrefix="0" xfId="0">
      <alignment horizontal="center" vertical="center" readingOrder="2"/>
    </xf>
    <xf numFmtId="164" fontId="15" fillId="9" borderId="1" applyAlignment="1" pivotButton="0" quotePrefix="0" xfId="0">
      <alignment horizontal="center" vertical="center" readingOrder="2"/>
    </xf>
    <xf numFmtId="9" fontId="15" fillId="9" borderId="1" applyAlignment="1" pivotButton="0" quotePrefix="0" xfId="0">
      <alignment horizontal="center" vertical="center" readingOrder="2"/>
    </xf>
    <xf numFmtId="3" fontId="17" fillId="0" borderId="1" applyAlignment="1" pivotButton="0" quotePrefix="0" xfId="0">
      <alignment horizontal="center" vertical="center" readingOrder="2"/>
    </xf>
    <xf numFmtId="2" fontId="18" fillId="0" borderId="1" applyAlignment="1" pivotButton="0" quotePrefix="0" xfId="0">
      <alignment horizontal="center" vertical="center" readingOrder="2"/>
    </xf>
    <xf numFmtId="164" fontId="17" fillId="0" borderId="1" applyAlignment="1" pivotButton="0" quotePrefix="0" xfId="0">
      <alignment horizontal="center" vertical="center" readingOrder="2"/>
    </xf>
    <xf numFmtId="0" fontId="13" fillId="4" borderId="1" applyAlignment="1" pivotButton="0" quotePrefix="0" xfId="0">
      <alignment horizontal="right" vertical="center" wrapText="1" readingOrder="2"/>
    </xf>
    <xf numFmtId="0" fontId="13" fillId="6" borderId="1" applyAlignment="1" pivotButton="0" quotePrefix="0" xfId="0">
      <alignment horizontal="right" vertical="center" wrapText="1" readingOrder="2"/>
    </xf>
    <xf numFmtId="0" fontId="13" fillId="8" borderId="1" applyAlignment="1" pivotButton="0" quotePrefix="0" xfId="0">
      <alignment horizontal="right" vertical="center" wrapText="1" readingOrder="2"/>
    </xf>
    <xf numFmtId="0" fontId="13" fillId="7" borderId="1" applyAlignment="1" pivotButton="0" quotePrefix="0" xfId="0">
      <alignment horizontal="right" vertical="center" wrapText="1" readingOrder="2"/>
    </xf>
    <xf numFmtId="3" fontId="10" fillId="4" borderId="1" applyAlignment="1" pivotButton="0" quotePrefix="0" xfId="0">
      <alignment horizontal="center" vertical="center" readingOrder="2"/>
    </xf>
    <xf numFmtId="2" fontId="10" fillId="4" borderId="1" applyAlignment="1" pivotButton="0" quotePrefix="0" xfId="0">
      <alignment horizontal="center" vertical="center" readingOrder="2"/>
    </xf>
    <xf numFmtId="1" fontId="17" fillId="0" borderId="1" applyAlignment="1" pivotButton="0" quotePrefix="0" xfId="0">
      <alignment horizontal="center" vertical="center" readingOrder="2"/>
    </xf>
    <xf numFmtId="1" fontId="18" fillId="4" borderId="1" applyAlignment="1" pivotButton="0" quotePrefix="0" xfId="0">
      <alignment horizontal="center" vertical="center" readingOrder="2"/>
    </xf>
    <xf numFmtId="3" fontId="19" fillId="0" borderId="1" applyAlignment="1" pivotButton="0" quotePrefix="0" xfId="0">
      <alignment horizontal="center" vertical="center" readingOrder="2"/>
    </xf>
    <xf numFmtId="0" fontId="16" fillId="4" borderId="1" applyAlignment="1" pivotButton="0" quotePrefix="0" xfId="0">
      <alignment horizontal="right" vertical="center" wrapText="1" readingOrder="2"/>
    </xf>
    <xf numFmtId="0" fontId="16" fillId="6" borderId="1" applyAlignment="1" pivotButton="0" quotePrefix="0" xfId="0">
      <alignment horizontal="right" vertical="center" wrapText="1" readingOrder="2"/>
    </xf>
    <xf numFmtId="0" fontId="16" fillId="8" borderId="1" applyAlignment="1" pivotButton="0" quotePrefix="0" xfId="0">
      <alignment horizontal="right" vertical="center" wrapText="1" readingOrder="2"/>
    </xf>
    <xf numFmtId="0" fontId="16" fillId="7" borderId="1" applyAlignment="1" pivotButton="0" quotePrefix="0" xfId="0">
      <alignment horizontal="right" vertical="center" wrapText="1" readingOrder="2"/>
    </xf>
    <xf numFmtId="0" fontId="12" fillId="10" borderId="1" applyAlignment="1" pivotButton="0" quotePrefix="0" xfId="0">
      <alignment horizontal="right" vertical="center" readingOrder="2"/>
    </xf>
    <xf numFmtId="0" fontId="13" fillId="6" borderId="1" applyAlignment="1" pivotButton="0" quotePrefix="0" xfId="0">
      <alignment horizontal="right" vertical="center" readingOrder="2"/>
    </xf>
    <xf numFmtId="164" fontId="5" fillId="4" borderId="1" applyAlignment="1" pivotButton="0" quotePrefix="0" xfId="0">
      <alignment horizontal="center" vertical="center" readingOrder="2"/>
    </xf>
    <xf numFmtId="0" fontId="12" fillId="4" borderId="0" applyAlignment="1" pivotButton="0" quotePrefix="0" xfId="0">
      <alignment horizontal="center" vertical="center" readingOrder="2"/>
    </xf>
    <xf numFmtId="2" fontId="6" fillId="4" borderId="1" applyAlignment="1" pivotButton="0" quotePrefix="0" xfId="0">
      <alignment horizontal="center" vertical="center" readingOrder="2"/>
    </xf>
    <xf numFmtId="165" fontId="5" fillId="10" borderId="1" applyAlignment="1" pivotButton="0" quotePrefix="0" xfId="0">
      <alignment horizontal="center" vertical="center" readingOrder="2"/>
    </xf>
    <xf numFmtId="165" fontId="6" fillId="0" borderId="1" applyAlignment="1" pivotButton="0" quotePrefix="0" xfId="0">
      <alignment horizontal="center" vertical="center" readingOrder="2"/>
    </xf>
    <xf numFmtId="0" fontId="10" fillId="10" borderId="1" applyAlignment="1" pivotButton="0" quotePrefix="0" xfId="0">
      <alignment horizontal="center" vertical="center" readingOrder="2"/>
    </xf>
    <xf numFmtId="0" fontId="17" fillId="0" borderId="1" applyAlignment="1" pivotButton="0" quotePrefix="0" xfId="0">
      <alignment horizontal="center" vertical="center" readingOrder="2"/>
    </xf>
    <xf numFmtId="2" fontId="6" fillId="6" borderId="1" applyAlignment="1" pivotButton="0" quotePrefix="0" xfId="0">
      <alignment horizontal="center" vertical="center" readingOrder="2"/>
    </xf>
    <xf numFmtId="165" fontId="5" fillId="11" borderId="1" applyAlignment="1" pivotButton="0" quotePrefix="0" xfId="0">
      <alignment horizontal="center" vertical="center" readingOrder="2"/>
    </xf>
    <xf numFmtId="165" fontId="20" fillId="0" borderId="1" applyAlignment="1" pivotButton="0" quotePrefix="0" xfId="0">
      <alignment horizontal="center" vertical="center" readingOrder="2"/>
    </xf>
    <xf numFmtId="0" fontId="10" fillId="11" borderId="1" applyAlignment="1" pivotButton="0" quotePrefix="0" xfId="0">
      <alignment horizontal="center" vertical="center" readingOrder="2"/>
    </xf>
    <xf numFmtId="0" fontId="21" fillId="11" borderId="1" applyAlignment="1" pivotButton="0" quotePrefix="0" xfId="0">
      <alignment horizontal="center" vertical="center" readingOrder="2"/>
    </xf>
    <xf numFmtId="2" fontId="6" fillId="8" borderId="1" applyAlignment="1" pivotButton="0" quotePrefix="0" xfId="0">
      <alignment horizontal="center" vertical="center" readingOrder="2"/>
    </xf>
    <xf numFmtId="2" fontId="6" fillId="7" borderId="1" applyAlignment="1" pivotButton="0" quotePrefix="0" xfId="0">
      <alignment horizontal="center" vertical="center" readingOrder="2"/>
    </xf>
    <xf numFmtId="165" fontId="5" fillId="7" borderId="1" applyAlignment="1" pivotButton="0" quotePrefix="0" xfId="0">
      <alignment horizontal="center" vertical="center" readingOrder="2"/>
    </xf>
    <xf numFmtId="0" fontId="4" fillId="2" borderId="1" applyAlignment="1" pivotButton="0" quotePrefix="0" xfId="0">
      <alignment horizontal="center" vertical="center" readingOrder="2"/>
    </xf>
    <xf numFmtId="0" fontId="11" fillId="11" borderId="1" applyAlignment="1" pivotButton="0" quotePrefix="0" xfId="0">
      <alignment horizontal="center" vertical="center" readingOrder="2"/>
    </xf>
    <xf numFmtId="0" fontId="12" fillId="11" borderId="1" applyAlignment="1" pivotButton="0" quotePrefix="0" xfId="0">
      <alignment horizontal="right" vertical="center" wrapText="1" readingOrder="2"/>
    </xf>
    <xf numFmtId="0" fontId="11" fillId="5" borderId="1" applyAlignment="1" pivotButton="0" quotePrefix="0" xfId="0">
      <alignment horizontal="center" vertical="center" readingOrder="2"/>
    </xf>
    <xf numFmtId="0" fontId="12" fillId="5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readingOrder="2"/>
    </xf>
    <xf numFmtId="2" fontId="5" fillId="5" borderId="1" applyAlignment="1" pivotButton="0" quotePrefix="0" xfId="0">
      <alignment horizontal="center" vertical="center" readingOrder="2"/>
    </xf>
    <xf numFmtId="1" fontId="6" fillId="5" borderId="1" applyAlignment="1" pivotButton="0" quotePrefix="0" xfId="0">
      <alignment horizontal="center" vertical="center" readingOrder="2"/>
    </xf>
    <xf numFmtId="1" fontId="5" fillId="10" borderId="1" applyAlignment="1" pivotButton="0" quotePrefix="0" xfId="0">
      <alignment horizontal="center" vertical="center" readingOrder="2"/>
    </xf>
    <xf numFmtId="0" fontId="6" fillId="10" borderId="1" applyAlignment="1" pivotButton="0" quotePrefix="0" xfId="0">
      <alignment horizontal="right" vertical="center" readingOrder="2"/>
    </xf>
    <xf numFmtId="2" fontId="5" fillId="10" borderId="1" applyAlignment="1" pivotButton="0" quotePrefix="0" xfId="0">
      <alignment horizontal="center" vertical="center" readingOrder="2"/>
    </xf>
    <xf numFmtId="1" fontId="6" fillId="10" borderId="1" applyAlignment="1" pivotButton="0" quotePrefix="0" xfId="0">
      <alignment horizontal="center" vertical="center" readingOrder="2"/>
    </xf>
    <xf numFmtId="0" fontId="6" fillId="7" borderId="1" applyAlignment="1" pivotButton="0" quotePrefix="0" xfId="0">
      <alignment horizontal="right" vertical="center" readingOrder="2"/>
    </xf>
    <xf numFmtId="2" fontId="5" fillId="7" borderId="1" applyAlignment="1" pivotButton="0" quotePrefix="0" xfId="0">
      <alignment horizontal="center" vertical="center" readingOrder="2"/>
    </xf>
    <xf numFmtId="1" fontId="6" fillId="7" borderId="1" applyAlignment="1" pivotButton="0" quotePrefix="0" xfId="0">
      <alignment horizontal="center" vertical="center" readingOrder="2"/>
    </xf>
    <xf numFmtId="0" fontId="6" fillId="11" borderId="1" applyAlignment="1" pivotButton="0" quotePrefix="0" xfId="0">
      <alignment horizontal="right" vertical="center" readingOrder="2"/>
    </xf>
    <xf numFmtId="2" fontId="5" fillId="11" borderId="1" applyAlignment="1" pivotButton="0" quotePrefix="0" xfId="0">
      <alignment horizontal="center" vertical="center" readingOrder="2"/>
    </xf>
    <xf numFmtId="1" fontId="6" fillId="11" borderId="1" applyAlignment="1" pivotButton="0" quotePrefix="0" xfId="0">
      <alignment horizontal="center" vertical="center" readingOrder="2"/>
    </xf>
    <xf numFmtId="0" fontId="12" fillId="7" borderId="1" applyAlignment="1" pivotButton="0" quotePrefix="0" xfId="0">
      <alignment horizontal="center" vertical="center" readingOrder="2"/>
    </xf>
    <xf numFmtId="0" fontId="11" fillId="7" borderId="1" applyAlignment="1" pivotButton="0" quotePrefix="0" xfId="0">
      <alignment horizontal="center" vertical="center" readingOrder="2"/>
    </xf>
    <xf numFmtId="0" fontId="11" fillId="7" borderId="1" applyAlignment="1" pivotButton="0" quotePrefix="0" xfId="0">
      <alignment horizontal="right" vertical="center" readingOrder="2"/>
    </xf>
    <xf numFmtId="0" fontId="12" fillId="7" borderId="1" applyAlignment="1" pivotButton="0" quotePrefix="0" xfId="0">
      <alignment horizontal="right" vertical="center" wrapText="1" readingOrder="2"/>
    </xf>
    <xf numFmtId="0" fontId="11" fillId="5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9" max="9"/>
  </cols>
  <sheetData>
    <row r="1" ht="36" customHeight="1">
      <c r="A1" s="1" t="inlineStr">
        <is>
          <t>RAITO × ואניליה — מודל מינימום / מקסימום משטחים</t>
        </is>
      </c>
    </row>
    <row r="2" ht="16" customHeight="1">
      <c r="A2" s="2" t="inlineStr">
        <is>
          <t>משטח = 2,400 יחידות 1  |  גודל אצווה = משטח אחד  |  כל הנתונים במשטחים  |  נתוני מלאי: 19 אפריל 2026</t>
        </is>
      </c>
    </row>
    <row r="4" ht="22" customHeight="1">
      <c r="A4" s="3" t="inlineStr">
        <is>
          <t>מלאי נוכחי — משטחים (19 אפריל 2026)</t>
        </is>
      </c>
    </row>
    <row r="5" ht="32" customHeight="1">
      <c r="A5" s="4" t="inlineStr">
        <is>
          <t>טעם</t>
        </is>
      </c>
      <c r="B5" s="4" t="inlineStr">
        <is>
          <t>קרפריי
(משטחים)</t>
        </is>
      </c>
      <c r="C5" s="4" t="inlineStr">
        <is>
          <t>אייס דרים
(משטחים)</t>
        </is>
      </c>
      <c r="D5" s="4" t="inlineStr">
        <is>
          <t>מעיין
(משטחים)</t>
        </is>
      </c>
      <c r="E5" s="4" t="inlineStr">
        <is>
          <t>סה"כ
(משטחים)</t>
        </is>
      </c>
      <c r="F5" s="4" t="inlineStr">
        <is>
          <t>מינימום
(משטחים)</t>
        </is>
      </c>
      <c r="G5" s="4" t="inlineStr">
        <is>
          <t>מקסימום
(משטחים)</t>
        </is>
      </c>
      <c r="H5" s="4" t="inlineStr">
        <is>
          <t>פער
ממינימום</t>
        </is>
      </c>
      <c r="I5" s="4" t="inlineStr">
        <is>
          <t>סטטוס</t>
        </is>
      </c>
    </row>
    <row r="6" ht="20" customHeight="1">
      <c r="A6" s="5" t="inlineStr">
        <is>
          <t>וניל</t>
        </is>
      </c>
      <c r="B6" s="6" t="n">
        <v>6</v>
      </c>
      <c r="C6" s="6" t="n">
        <v>0.5</v>
      </c>
      <c r="D6" s="6" t="n">
        <v>2.6</v>
      </c>
      <c r="E6" s="7" t="n">
        <v>9.1</v>
      </c>
      <c r="F6" s="8" t="n">
        <v>4</v>
      </c>
      <c r="G6" s="8" t="n">
        <v>11</v>
      </c>
      <c r="H6" s="9" t="n">
        <v>5.1</v>
      </c>
      <c r="I6" s="10" t="inlineStr">
        <is>
          <t>🟢 תקין</t>
        </is>
      </c>
    </row>
    <row r="7" ht="20" customHeight="1">
      <c r="A7" s="11" t="inlineStr">
        <is>
          <t>שוקולד</t>
        </is>
      </c>
      <c r="B7" s="12" t="n">
        <v>3</v>
      </c>
      <c r="C7" s="12" t="n">
        <v>0.5</v>
      </c>
      <c r="D7" s="12" t="n">
        <v>2</v>
      </c>
      <c r="E7" s="7" t="n">
        <v>5.5</v>
      </c>
      <c r="F7" s="8" t="n">
        <v>4</v>
      </c>
      <c r="G7" s="8" t="n">
        <v>12</v>
      </c>
      <c r="H7" s="9" t="n">
        <v>1.5</v>
      </c>
      <c r="I7" s="13" t="inlineStr">
        <is>
          <t>🟡 קרוב למינימום</t>
        </is>
      </c>
    </row>
    <row r="8" ht="20" customHeight="1">
      <c r="A8" s="14" t="inlineStr">
        <is>
          <t>מנגו</t>
        </is>
      </c>
      <c r="B8" s="15" t="n">
        <v>9</v>
      </c>
      <c r="C8" s="15" t="n">
        <v>0.2</v>
      </c>
      <c r="D8" s="15" t="n">
        <v>1.3</v>
      </c>
      <c r="E8" s="7" t="n">
        <v>10.5</v>
      </c>
      <c r="F8" s="8" t="n">
        <v>2</v>
      </c>
      <c r="G8" s="8" t="n">
        <v>7</v>
      </c>
      <c r="H8" s="9" t="n">
        <v>8.5</v>
      </c>
      <c r="I8" s="10" t="inlineStr">
        <is>
          <t>🟢 תקין</t>
        </is>
      </c>
    </row>
    <row r="9" ht="20" customHeight="1">
      <c r="A9" s="16" t="inlineStr">
        <is>
          <t>פיסטוק</t>
        </is>
      </c>
      <c r="B9" s="17" t="n">
        <v>3.9</v>
      </c>
      <c r="C9" s="17" t="n">
        <v>0.6</v>
      </c>
      <c r="D9" s="17" t="n">
        <v>1.4</v>
      </c>
      <c r="E9" s="7" t="n">
        <v>5.8</v>
      </c>
      <c r="F9" s="8" t="n">
        <v>4</v>
      </c>
      <c r="G9" s="8" t="n">
        <v>6</v>
      </c>
      <c r="H9" s="9" t="n">
        <v>1.8</v>
      </c>
      <c r="I9" s="13" t="inlineStr">
        <is>
          <t>🟡 קרוב למינימום</t>
        </is>
      </c>
    </row>
    <row r="10" ht="20" customHeight="1">
      <c r="A10" s="18" t="inlineStr">
        <is>
          <t>סה"כ</t>
        </is>
      </c>
      <c r="B10" s="19" t="n">
        <v>21.9</v>
      </c>
      <c r="C10" s="19" t="n">
        <v>1.8</v>
      </c>
      <c r="D10" s="19" t="n">
        <v>7.299999999999999</v>
      </c>
      <c r="E10" s="19" t="n">
        <v>30.9</v>
      </c>
      <c r="F10" s="20" t="n"/>
      <c r="G10" s="20" t="n"/>
      <c r="H10" s="20" t="n"/>
      <c r="I10" s="20" t="n"/>
    </row>
    <row r="12">
      <c r="A12" s="21" t="inlineStr">
        <is>
          <t>מקרא</t>
        </is>
      </c>
    </row>
    <row r="13">
      <c r="A13" s="22" t="inlineStr">
        <is>
          <t>🟢 תקין</t>
        </is>
      </c>
      <c r="B13" s="23" t="inlineStr">
        <is>
          <t>מלאי ≥ מינימום × 1.2</t>
        </is>
      </c>
      <c r="C13" s="22" t="inlineStr">
        <is>
          <t>🟡 קרוב למינימום</t>
        </is>
      </c>
      <c r="D13" s="23" t="inlineStr">
        <is>
          <t>מינימום ≤ מלאי &lt; מינימום × 1.2</t>
        </is>
      </c>
      <c r="E13" s="22" t="inlineStr">
        <is>
          <t>🔴 מתחת למינימום</t>
        </is>
      </c>
      <c r="F13" s="23" t="inlineStr">
        <is>
          <t>מלאי &lt; מינימום — הזמן ייצור מיידית</t>
        </is>
      </c>
    </row>
    <row r="15">
      <c r="A15" s="24" t="inlineStr">
        <is>
          <t>יחידות במשטח: 2,400  |  רמות מינימום/מקסימום במשטחים שלמים  |  מלאי עם ספרה אחת אחרי הנקודה</t>
        </is>
      </c>
    </row>
  </sheetData>
  <mergeCells count="5">
    <mergeCell ref="A15:I15"/>
    <mergeCell ref="A2:I2"/>
    <mergeCell ref="A1:I1"/>
    <mergeCell ref="A12:C12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rightToLeft="1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32" customWidth="1" min="10" max="10"/>
  </cols>
  <sheetData>
    <row r="1" ht="36" customHeight="1">
      <c r="A1" s="25" t="inlineStr">
        <is>
          <t>מודל מינימום / מקסימום — כל הנתונים במשטחים</t>
        </is>
      </c>
    </row>
    <row r="2" ht="16" customHeight="1">
      <c r="A2" s="2" t="inlineStr">
        <is>
          <t>כחול = ערך קלט  |  צהוב = תא קלט  |  שחור = נוסחה  |  בסיס: מעיין ינו'-פבר' 2026 — שוקולד 34.4% &gt; וניל 32.4%</t>
        </is>
      </c>
    </row>
    <row r="4" ht="22" customHeight="1">
      <c r="A4" s="26" t="inlineStr">
        <is>
          <t>פרמטרים כלליים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</row>
    <row r="5" ht="18" customHeight="1">
      <c r="A5" s="11" t="inlineStr">
        <is>
          <t>גודל משטח (יחידות)</t>
        </is>
      </c>
      <c r="B5" s="20" t="n"/>
      <c r="C5" s="27" t="n">
        <v>2400</v>
      </c>
      <c r="D5" s="28" t="inlineStr">
        <is>
          <t>משטח אחד = 2,400 יחידות. כל נתוני המודל במשטחים.</t>
        </is>
      </c>
      <c r="E5" s="20" t="n"/>
      <c r="F5" s="20" t="n"/>
      <c r="G5" s="20" t="n"/>
      <c r="H5" s="20" t="n"/>
      <c r="I5" s="20" t="n"/>
      <c r="J5" s="20" t="n"/>
    </row>
    <row r="6" ht="18" customHeight="1">
      <c r="A6" s="11" t="inlineStr">
        <is>
          <t>זמן אספקה — סטנדרטי (שבועות)</t>
        </is>
      </c>
      <c r="B6" s="20" t="n"/>
      <c r="C6" s="29" t="n">
        <v>1</v>
      </c>
      <c r="D6" s="28" t="inlineStr">
        <is>
          <t>וניל / שוקולד / מנגו: שבוע אחד מהזמנה עד קבלה</t>
        </is>
      </c>
      <c r="E6" s="20" t="n"/>
      <c r="F6" s="20" t="n"/>
      <c r="G6" s="20" t="n"/>
      <c r="H6" s="20" t="n"/>
      <c r="I6" s="20" t="n"/>
      <c r="J6" s="20" t="n"/>
    </row>
    <row r="7" ht="18" customHeight="1">
      <c r="A7" s="11" t="inlineStr">
        <is>
          <t>זמן אספקה — פיסטוק (שבועות)</t>
        </is>
      </c>
      <c r="B7" s="20" t="n"/>
      <c r="C7" s="29" t="n">
        <v>2</v>
      </c>
      <c r="D7" s="28" t="inlineStr">
        <is>
          <t>חומרי גלם חייבים להיות מוזמנים מראש — זמן כולל 2 שבועות</t>
        </is>
      </c>
      <c r="E7" s="20" t="n"/>
      <c r="F7" s="20" t="n"/>
      <c r="G7" s="20" t="n"/>
      <c r="H7" s="20" t="n"/>
      <c r="I7" s="20" t="n"/>
      <c r="J7" s="20" t="n"/>
    </row>
    <row r="8" ht="18" customHeight="1">
      <c r="A8" s="11" t="inlineStr">
        <is>
          <t>מלאי ביטחון — סטנדרטי (שבועות)</t>
        </is>
      </c>
      <c r="B8" s="20" t="n"/>
      <c r="C8" s="29" t="n">
        <v>1</v>
      </c>
      <c r="D8" s="28" t="inlineStr">
        <is>
          <t>שבוע ביקוש כמלאי ביטחון (טעמים רגילים)</t>
        </is>
      </c>
      <c r="E8" s="20" t="n"/>
      <c r="F8" s="20" t="n"/>
      <c r="G8" s="20" t="n"/>
      <c r="H8" s="20" t="n"/>
      <c r="I8" s="20" t="n"/>
      <c r="J8" s="20" t="n"/>
    </row>
    <row r="9" ht="18" customHeight="1">
      <c r="A9" s="11" t="inlineStr">
        <is>
          <t>מלאי ביטחון — פיסטוק (שבועות)</t>
        </is>
      </c>
      <c r="B9" s="20" t="n"/>
      <c r="C9" s="29" t="n">
        <v>2</v>
      </c>
      <c r="D9" s="28" t="inlineStr">
        <is>
          <t>מלאי ביטחון כפול לפיסטוק בשל זמן האספקה המורחב</t>
        </is>
      </c>
      <c r="E9" s="20" t="n"/>
      <c r="F9" s="20" t="n"/>
      <c r="G9" s="20" t="n"/>
      <c r="H9" s="20" t="n"/>
      <c r="I9" s="20" t="n"/>
      <c r="J9" s="20" t="n"/>
    </row>
    <row r="10" ht="18" customHeight="1">
      <c r="A10" s="11" t="inlineStr">
        <is>
          <t>כיסוי כמות הזמנה (שבועות)</t>
        </is>
      </c>
      <c r="B10" s="20" t="n"/>
      <c r="C10" s="30" t="n">
        <v>1.5</v>
      </c>
      <c r="D10" s="28" t="inlineStr">
        <is>
          <t>כל ריצת ייצור מכסה כמות זו של שבועות ביקוש</t>
        </is>
      </c>
      <c r="E10" s="20" t="n"/>
      <c r="F10" s="20" t="n"/>
      <c r="G10" s="20" t="n"/>
      <c r="H10" s="20" t="n"/>
      <c r="I10" s="20" t="n"/>
      <c r="J10" s="20" t="n"/>
    </row>
    <row r="12" ht="22" customHeight="1">
      <c r="A12" s="26" t="inlineStr">
        <is>
          <t>ביקוש בסיס (ינואר-פברואר 2026) — לחישוב מינימום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</row>
    <row r="13" ht="35" customHeight="1">
      <c r="A13" s="4" t="inlineStr">
        <is>
          <t>טעם</t>
        </is>
      </c>
      <c r="B13" s="4" t="inlineStr">
        <is>
          <t>יחידות/שבוע
(בנצ'מרק)</t>
        </is>
      </c>
      <c r="C13" s="4" t="inlineStr">
        <is>
          <t>עלייה
NBA/קיץ</t>
        </is>
      </c>
      <c r="D13" s="4" t="inlineStr">
        <is>
          <t>עלייה
לקוחות חדשים</t>
        </is>
      </c>
      <c r="E13" s="4" t="inlineStr">
        <is>
          <t>תחזית
יחידות/שבוע</t>
        </is>
      </c>
      <c r="F13" s="4" t="inlineStr">
        <is>
          <t>משטחים/שבוע
(÷2,400)</t>
        </is>
      </c>
      <c r="G13" s="4" t="inlineStr">
        <is>
          <t>חודשי
(משטחים)</t>
        </is>
      </c>
      <c r="H13" s="4" t="inlineStr">
        <is>
          <t>מקור הנתון</t>
        </is>
      </c>
      <c r="I13" s="20" t="n"/>
      <c r="J13" s="20" t="n"/>
    </row>
    <row r="14" ht="22" customHeight="1">
      <c r="A14" s="5" t="inlineStr">
        <is>
          <t>וניל</t>
        </is>
      </c>
      <c r="B14" s="27" t="n">
        <v>3100</v>
      </c>
      <c r="C14" s="31" t="n">
        <v>0.15</v>
      </c>
      <c r="D14" s="31" t="n">
        <v>0.1</v>
      </c>
      <c r="E14" s="32">
        <f>ROUND(B14*(1+C14+D14),0)</f>
        <v/>
      </c>
      <c r="F14" s="33">
        <f>ROUND(E14/C$5,2)</f>
        <v/>
      </c>
      <c r="G14" s="34">
        <f>ROUND(F14*4.3,1)</f>
        <v/>
      </c>
      <c r="H14" s="35" t="inlineStr">
        <is>
          <t>מעיין ינו'-פבר' 2026 (32.4%): ינו' 2,523/שב' → פבר' 3,069/שב' → ממוצע 2,796 | שוקולד מוביל — ביחס 34.4%/32.4%</t>
        </is>
      </c>
      <c r="I14" s="20" t="n"/>
      <c r="J14" s="20" t="n"/>
    </row>
    <row r="15" ht="22" customHeight="1">
      <c r="A15" s="11" t="inlineStr">
        <is>
          <t>שוקולד</t>
        </is>
      </c>
      <c r="B15" s="27" t="n">
        <v>3300</v>
      </c>
      <c r="C15" s="31" t="n">
        <v>0.15</v>
      </c>
      <c r="D15" s="31" t="n">
        <v>0.1</v>
      </c>
      <c r="E15" s="32">
        <f>ROUND(B15*(1+C15+D15),0)</f>
        <v/>
      </c>
      <c r="F15" s="33">
        <f>ROUND(E15/C$5,2)</f>
        <v/>
      </c>
      <c r="G15" s="34">
        <f>ROUND(F15*4.3,1)</f>
        <v/>
      </c>
      <c r="H15" s="36" t="inlineStr">
        <is>
          <t>מעיין ינו'-פבר' 2026 (34.4%): ינו' 3,024/שב' → פבר' 2,904/שב' → ממוצע 2,964 | טעם #1 בפועל — מקור סמכותי</t>
        </is>
      </c>
      <c r="I15" s="20" t="n"/>
      <c r="J15" s="20" t="n"/>
    </row>
    <row r="16" ht="22" customHeight="1">
      <c r="A16" s="14" t="inlineStr">
        <is>
          <t>מנגו</t>
        </is>
      </c>
      <c r="B16" s="27" t="n">
        <v>1900</v>
      </c>
      <c r="C16" s="31" t="n">
        <v>0.1</v>
      </c>
      <c r="D16" s="31" t="n">
        <v>0.1</v>
      </c>
      <c r="E16" s="32">
        <f>ROUND(B16*(1+C16+D16),0)</f>
        <v/>
      </c>
      <c r="F16" s="33">
        <f>ROUND(E16/C$5,2)</f>
        <v/>
      </c>
      <c r="G16" s="34">
        <f>ROUND(F16*4.3,1)</f>
        <v/>
      </c>
      <c r="H16" s="37" t="inlineStr">
        <is>
          <t>מעיין ינו'-פבר' 2026 (19.1%): ינו' 1,511/שב' → פבר' 1,780/שב' → ממוצע 1,645 | יציב ועקבי</t>
        </is>
      </c>
      <c r="I16" s="20" t="n"/>
      <c r="J16" s="20" t="n"/>
    </row>
    <row r="17" ht="22" customHeight="1">
      <c r="A17" s="16" t="inlineStr">
        <is>
          <t>פיסטוק</t>
        </is>
      </c>
      <c r="B17" s="27" t="n">
        <v>1700</v>
      </c>
      <c r="C17" s="31" t="n">
        <v>0.2</v>
      </c>
      <c r="D17" s="31" t="n">
        <v>0.2</v>
      </c>
      <c r="E17" s="32">
        <f>ROUND(B17*(1+C17+D17),0)</f>
        <v/>
      </c>
      <c r="F17" s="33">
        <f>ROUND(E17/C$5,2)</f>
        <v/>
      </c>
      <c r="G17" s="34">
        <f>ROUND(F17*4.3,1)</f>
        <v/>
      </c>
      <c r="H17" s="38" t="inlineStr">
        <is>
          <t>מעיין פבר' 2026 בלבד (ינו'=0, 14.1%): 2,428/שב' → ממוצע ינו'-פבר' 1,214/שב' | פז יילו 124ס'+יודה 25ס' ≈ +20% (cust_up)</t>
        </is>
      </c>
      <c r="I17" s="20" t="n"/>
      <c r="J17" s="20" t="n"/>
    </row>
    <row r="18" ht="18" customHeight="1">
      <c r="A18" s="18" t="inlineStr">
        <is>
          <t>סה"כ</t>
        </is>
      </c>
      <c r="B18" s="20" t="n"/>
      <c r="C18" s="20" t="n"/>
      <c r="D18" s="20" t="n"/>
      <c r="E18" s="39">
        <f>SUM(E14:E17)</f>
        <v/>
      </c>
      <c r="F18" s="40">
        <f>SUM(F14:F17)</f>
        <v/>
      </c>
      <c r="G18" s="19">
        <f>SUM(G14:G17)</f>
        <v/>
      </c>
      <c r="H18" s="20" t="n"/>
      <c r="I18" s="20" t="n"/>
      <c r="J18" s="20" t="n"/>
    </row>
    <row r="20" ht="22" customHeight="1">
      <c r="A20" s="3" t="inlineStr">
        <is>
          <t>טבלת מינימום / מקסימום — משטחים</t>
        </is>
      </c>
    </row>
    <row r="21" ht="40" customHeight="1">
      <c r="A21" s="4" t="inlineStr">
        <is>
          <t>טעם</t>
        </is>
      </c>
      <c r="B21" s="4" t="inlineStr">
        <is>
          <t>זמן אספקה
(שב')</t>
        </is>
      </c>
      <c r="C21" s="4" t="inlineStr">
        <is>
          <t>מלאי ביטחון
(משטחים)</t>
        </is>
      </c>
      <c r="D21" s="4" t="inlineStr">
        <is>
          <t>ביקוש בזמן
אספקה</t>
        </is>
      </c>
      <c r="E21" s="4" t="inlineStr">
        <is>
          <t>מינימום
▲ (ינו'-פבר')</t>
        </is>
      </c>
      <c r="F21" s="4" t="inlineStr">
        <is>
          <t>כמות הזמנה
(Max−Min)</t>
        </is>
      </c>
      <c r="G21" s="4" t="inlineStr">
        <is>
          <t>מקסימום
▼ מכר חודשי
80K</t>
        </is>
      </c>
      <c r="H21" s="4" t="inlineStr">
        <is>
          <t>יחידות @
מינימום</t>
        </is>
      </c>
      <c r="I21" s="4" t="inlineStr">
        <is>
          <t>יחידות @
מקסימום</t>
        </is>
      </c>
      <c r="J21" s="4" t="inlineStr">
        <is>
          <t>הערות</t>
        </is>
      </c>
    </row>
    <row r="22" ht="22" customHeight="1">
      <c r="A22" s="5" t="inlineStr">
        <is>
          <t>וניל</t>
        </is>
      </c>
      <c r="B22" s="41">
        <f>C$6</f>
        <v/>
      </c>
      <c r="C22" s="41">
        <f>CEILING(F14*C$8,1)</f>
        <v/>
      </c>
      <c r="D22" s="41">
        <f>CEILING(F14*C$6,1)</f>
        <v/>
      </c>
      <c r="E22" s="42">
        <f>C22+D22</f>
        <v/>
      </c>
      <c r="F22" s="41">
        <f>G22-E22</f>
        <v/>
      </c>
      <c r="G22" s="29" t="n">
        <v>11</v>
      </c>
      <c r="H22" s="43">
        <f>E22*C$5</f>
        <v/>
      </c>
      <c r="I22" s="43">
        <f>G22*C$5</f>
        <v/>
      </c>
      <c r="J22" s="44" t="inlineStr">
        <is>
          <t>זמן אספקה 1 שב' | עלייה NBA/קיץ</t>
        </is>
      </c>
    </row>
    <row r="23" ht="22" customHeight="1">
      <c r="A23" s="11" t="inlineStr">
        <is>
          <t>שוקולד</t>
        </is>
      </c>
      <c r="B23" s="41">
        <f>C$6</f>
        <v/>
      </c>
      <c r="C23" s="41">
        <f>CEILING(F15*C$8,1)</f>
        <v/>
      </c>
      <c r="D23" s="41">
        <f>CEILING(F15*C$6,1)</f>
        <v/>
      </c>
      <c r="E23" s="42">
        <f>C23+D23</f>
        <v/>
      </c>
      <c r="F23" s="41">
        <f>G23-E23</f>
        <v/>
      </c>
      <c r="G23" s="29" t="n">
        <v>12</v>
      </c>
      <c r="H23" s="43">
        <f>E23*C$5</f>
        <v/>
      </c>
      <c r="I23" s="43">
        <f>G23*C$5</f>
        <v/>
      </c>
      <c r="J23" s="45" t="inlineStr">
        <is>
          <t>זמן אספקה 1 שב' | כיסוי ערוצים רחב</t>
        </is>
      </c>
    </row>
    <row r="24" ht="22" customHeight="1">
      <c r="A24" s="14" t="inlineStr">
        <is>
          <t>מנגו</t>
        </is>
      </c>
      <c r="B24" s="41">
        <f>C$6</f>
        <v/>
      </c>
      <c r="C24" s="41">
        <f>CEILING(F16*C$8,1)</f>
        <v/>
      </c>
      <c r="D24" s="41">
        <f>CEILING(F16*C$6,1)</f>
        <v/>
      </c>
      <c r="E24" s="42">
        <f>C24+D24</f>
        <v/>
      </c>
      <c r="F24" s="41">
        <f>G24-E24</f>
        <v/>
      </c>
      <c r="G24" s="29" t="n">
        <v>7</v>
      </c>
      <c r="H24" s="43">
        <f>E24*C$5</f>
        <v/>
      </c>
      <c r="I24" s="43">
        <f>G24*C$5</f>
        <v/>
      </c>
      <c r="J24" s="46" t="inlineStr">
        <is>
          <t>זמן אספקה 1 שב' | מהיר ביותר; בופר גדול</t>
        </is>
      </c>
    </row>
    <row r="25" ht="22" customHeight="1">
      <c r="A25" s="16" t="inlineStr">
        <is>
          <t>פיסטוק</t>
        </is>
      </c>
      <c r="B25" s="41">
        <f>C$7</f>
        <v/>
      </c>
      <c r="C25" s="41">
        <f>CEILING(F17*C$9,1)</f>
        <v/>
      </c>
      <c r="D25" s="41">
        <f>CEILING(F17*C$7,1)</f>
        <v/>
      </c>
      <c r="E25" s="42">
        <f>C25+D25</f>
        <v/>
      </c>
      <c r="F25" s="41">
        <f>G25-E25</f>
        <v/>
      </c>
      <c r="G25" s="29" t="n">
        <v>6</v>
      </c>
      <c r="H25" s="43">
        <f>E25*C$5</f>
        <v/>
      </c>
      <c r="I25" s="43">
        <f>G25*C$5</f>
        <v/>
      </c>
      <c r="J25" s="47" t="inlineStr">
        <is>
          <t>⚠️ זמן אספקה 2 שב' — חו"ג על הזמנת חומרי גלם שוטפת</t>
        </is>
      </c>
    </row>
    <row r="26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</row>
    <row r="28" ht="22" customHeight="1">
      <c r="A28" s="26" t="inlineStr">
        <is>
          <t>לוגיקת חישוב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</row>
    <row r="29" ht="18" customHeight="1">
      <c r="A29" s="11" t="inlineStr">
        <is>
          <t>משטחים/שבוע</t>
        </is>
      </c>
      <c r="B29" s="20" t="n"/>
      <c r="C29" s="48" t="inlineStr">
        <is>
          <t>יחידות/שבוע  ÷  גודל משטח (2,400)  — מחושב מביקוש בסיס ינואר-פברואר</t>
        </is>
      </c>
      <c r="D29" s="20" t="n"/>
      <c r="E29" s="20" t="n"/>
      <c r="F29" s="20" t="n"/>
      <c r="G29" s="20" t="n"/>
      <c r="H29" s="20" t="n"/>
      <c r="I29" s="20" t="n"/>
      <c r="J29" s="20" t="n"/>
    </row>
    <row r="30" ht="18" customHeight="1">
      <c r="A30" s="11" t="inlineStr">
        <is>
          <t>מלאי ביטחון</t>
        </is>
      </c>
      <c r="B30" s="20" t="n"/>
      <c r="C30" s="48" t="inlineStr">
        <is>
          <t>CEILING( משטחים/שבוע  ×  שבועות ביטחון ,  1 )  — עיגול למשטח שלם</t>
        </is>
      </c>
      <c r="D30" s="20" t="n"/>
      <c r="E30" s="20" t="n"/>
      <c r="F30" s="20" t="n"/>
      <c r="G30" s="20" t="n"/>
      <c r="H30" s="20" t="n"/>
      <c r="I30" s="20" t="n"/>
      <c r="J30" s="20" t="n"/>
    </row>
    <row r="31" ht="18" customHeight="1">
      <c r="A31" s="11" t="inlineStr">
        <is>
          <t>ביקוש בזמן אספקה</t>
        </is>
      </c>
      <c r="B31" s="20" t="n"/>
      <c r="C31" s="48" t="inlineStr">
        <is>
          <t>CEILING( משטחים/שבוע  ×  שבועות זמן אספקה ,  1 )  — עיגול למשטח שלם</t>
        </is>
      </c>
      <c r="D31" s="20" t="n"/>
      <c r="E31" s="20" t="n"/>
      <c r="F31" s="20" t="n"/>
      <c r="G31" s="20" t="n"/>
      <c r="H31" s="20" t="n"/>
      <c r="I31" s="20" t="n"/>
      <c r="J31" s="20" t="n"/>
    </row>
    <row r="32" ht="18" customHeight="1">
      <c r="A32" s="11" t="inlineStr">
        <is>
          <t>מינימום (נ.ה.מ)</t>
        </is>
      </c>
      <c r="B32" s="20" t="n"/>
      <c r="C32" s="48" t="inlineStr">
        <is>
          <t>מלאי ביטחון + ביקוש בזמן אספקה  ← רצפה קשיחה — הזמן ייצור כשמגיעים לרמה זו</t>
        </is>
      </c>
      <c r="D32" s="20" t="n"/>
      <c r="E32" s="20" t="n"/>
      <c r="F32" s="20" t="n"/>
      <c r="G32" s="20" t="n"/>
      <c r="H32" s="20" t="n"/>
      <c r="I32" s="20" t="n"/>
      <c r="J32" s="20" t="n"/>
    </row>
    <row r="33" ht="18" customHeight="1">
      <c r="A33" s="11" t="inlineStr">
        <is>
          <t>מקסימום</t>
        </is>
      </c>
      <c r="B33" s="20" t="n"/>
      <c r="C33" s="48" t="inlineStr">
        <is>
          <t>תחזית 80K יח'/חו' ÷ 2,400  (CEILING למשטח שלם)  ← תא קלט צהוב — עדכן לפי תחזית</t>
        </is>
      </c>
      <c r="D33" s="20" t="n"/>
      <c r="E33" s="20" t="n"/>
      <c r="F33" s="20" t="n"/>
      <c r="G33" s="20" t="n"/>
      <c r="H33" s="20" t="n"/>
      <c r="I33" s="20" t="n"/>
      <c r="J33" s="20" t="n"/>
    </row>
    <row r="34" ht="18" customHeight="1">
      <c r="A34" s="11" t="inlineStr">
        <is>
          <t>כמות הזמנה</t>
        </is>
      </c>
      <c r="B34" s="20" t="n"/>
      <c r="C34" s="48" t="inlineStr">
        <is>
          <t>מקסימום − מינימום  ← כמה משטחים מייצרים בכל ריצה</t>
        </is>
      </c>
      <c r="D34" s="20" t="n"/>
      <c r="E34" s="20" t="n"/>
      <c r="F34" s="20" t="n"/>
      <c r="G34" s="20" t="n"/>
      <c r="H34" s="20" t="n"/>
      <c r="I34" s="20" t="n"/>
      <c r="J34" s="20" t="n"/>
    </row>
  </sheetData>
  <mergeCells count="34">
    <mergeCell ref="C34:J34"/>
    <mergeCell ref="A30:B30"/>
    <mergeCell ref="C30:J30"/>
    <mergeCell ref="D9:J9"/>
    <mergeCell ref="A4:D4"/>
    <mergeCell ref="C33:J33"/>
    <mergeCell ref="D8:J8"/>
    <mergeCell ref="A20:J20"/>
    <mergeCell ref="H17:J17"/>
    <mergeCell ref="A28:J28"/>
    <mergeCell ref="A6:B6"/>
    <mergeCell ref="D5:J5"/>
    <mergeCell ref="H16:J16"/>
    <mergeCell ref="C29:J29"/>
    <mergeCell ref="A7:B7"/>
    <mergeCell ref="D10:J10"/>
    <mergeCell ref="C31:J31"/>
    <mergeCell ref="H15:J15"/>
    <mergeCell ref="A1:J1"/>
    <mergeCell ref="H14:J14"/>
    <mergeCell ref="A33:B33"/>
    <mergeCell ref="A5:B5"/>
    <mergeCell ref="D6:J6"/>
    <mergeCell ref="A32:B32"/>
    <mergeCell ref="A8:B8"/>
    <mergeCell ref="A29:B29"/>
    <mergeCell ref="C32:J32"/>
    <mergeCell ref="D7:J7"/>
    <mergeCell ref="A10:B10"/>
    <mergeCell ref="A12:J12"/>
    <mergeCell ref="A2:J2"/>
    <mergeCell ref="A9:B9"/>
    <mergeCell ref="A31:B31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2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8" customWidth="1" min="11" max="11"/>
    <col width="15" customWidth="1" min="12" max="12"/>
  </cols>
  <sheetData>
    <row r="1" ht="36" customHeight="1">
      <c r="A1" s="25" t="inlineStr">
        <is>
          <t>תכנית מעבר — מאי 2026 (משטחים)</t>
        </is>
      </c>
    </row>
    <row r="2" ht="16" customHeight="1">
      <c r="A2" s="2" t="inlineStr">
        <is>
          <t>מתי כל טעם מגיע לרמת המינימום ומתי על ואניליה להפעיל ייצור ראשון תחת המודל החדש?</t>
        </is>
      </c>
    </row>
    <row r="4" ht="22" customHeight="1">
      <c r="A4" s="3" t="inlineStr">
        <is>
          <t>שלב 1 — מלאי נוכחי במשטחים (19 אפריל 2026)</t>
        </is>
      </c>
    </row>
    <row r="5" ht="28" customHeight="1">
      <c r="A5" s="4" t="inlineStr">
        <is>
          <t>טעם</t>
        </is>
      </c>
      <c r="B5" s="4" t="inlineStr">
        <is>
          <t>קרפריי</t>
        </is>
      </c>
      <c r="C5" s="4" t="inlineStr">
        <is>
          <t>אייס דרים</t>
        </is>
      </c>
      <c r="D5" s="4" t="inlineStr">
        <is>
          <t>מעיין</t>
        </is>
      </c>
      <c r="E5" s="4" t="inlineStr">
        <is>
          <t>סה"כ
(משטחים)</t>
        </is>
      </c>
      <c r="F5" s="4" t="inlineStr">
        <is>
          <t>מקור</t>
        </is>
      </c>
      <c r="G5" s="20" t="n"/>
      <c r="H5" s="20" t="n"/>
      <c r="I5" s="20" t="n"/>
      <c r="J5" s="20" t="n"/>
    </row>
    <row r="6" ht="20" customHeight="1">
      <c r="A6" s="5" t="inlineStr">
        <is>
          <t>וניל</t>
        </is>
      </c>
      <c r="B6" s="6" t="n">
        <v>6</v>
      </c>
      <c r="C6" s="6" t="n">
        <v>0.5</v>
      </c>
      <c r="D6" s="6" t="n">
        <v>2.6</v>
      </c>
      <c r="E6" s="7" t="n">
        <v>9.1</v>
      </c>
      <c r="F6" s="49" t="inlineStr">
        <is>
          <t>קרפריי PDF 19/4; אייס דרים 16/4; מעיין 15/4 + קבלה 17/4 (ו׳+ש׳+מ׳ 4מ׳ סה"כ)</t>
        </is>
      </c>
      <c r="G6" s="20" t="n"/>
      <c r="H6" s="20" t="n"/>
      <c r="I6" s="20" t="n"/>
      <c r="J6" s="20" t="n"/>
    </row>
    <row r="7" ht="20" customHeight="1">
      <c r="A7" s="11" t="inlineStr">
        <is>
          <t>שוקולד</t>
        </is>
      </c>
      <c r="B7" s="12" t="n">
        <v>3</v>
      </c>
      <c r="C7" s="12" t="n">
        <v>0.5</v>
      </c>
      <c r="D7" s="12" t="n">
        <v>2</v>
      </c>
      <c r="E7" s="7" t="n">
        <v>5.5</v>
      </c>
      <c r="F7" s="49" t="inlineStr">
        <is>
          <t>קרפריי PDF 19/4; אייס דרים 16/4; מעיין 15/4 + קבלה 17/4 (ו׳+ש׳+מ׳ 4מ׳ סה"כ)</t>
        </is>
      </c>
      <c r="G7" s="20" t="n"/>
      <c r="H7" s="20" t="n"/>
      <c r="I7" s="20" t="n"/>
      <c r="J7" s="20" t="n"/>
    </row>
    <row r="8" ht="20" customHeight="1">
      <c r="A8" s="14" t="inlineStr">
        <is>
          <t>מנגו</t>
        </is>
      </c>
      <c r="B8" s="15" t="n">
        <v>9</v>
      </c>
      <c r="C8" s="15" t="n">
        <v>0.2</v>
      </c>
      <c r="D8" s="15" t="n">
        <v>1.3</v>
      </c>
      <c r="E8" s="7" t="n">
        <v>10.5</v>
      </c>
      <c r="F8" s="49" t="inlineStr">
        <is>
          <t>קרפריי PDF 19/4; אייס דרים 16/4; מעיין 15/4 + קבלה 17/4 (ו׳+ש׳+מ׳ 4מ׳ סה"כ)</t>
        </is>
      </c>
      <c r="G8" s="20" t="n"/>
      <c r="H8" s="20" t="n"/>
      <c r="I8" s="20" t="n"/>
      <c r="J8" s="20" t="n"/>
    </row>
    <row r="9" ht="20" customHeight="1">
      <c r="A9" s="16" t="inlineStr">
        <is>
          <t>פיסטוק</t>
        </is>
      </c>
      <c r="B9" s="17" t="n">
        <v>3.9</v>
      </c>
      <c r="C9" s="17" t="n">
        <v>0.6</v>
      </c>
      <c r="D9" s="17" t="n">
        <v>1.4</v>
      </c>
      <c r="E9" s="7" t="n">
        <v>5.8</v>
      </c>
      <c r="F9" s="49" t="inlineStr">
        <is>
          <t>קרפריי PDF 19/4; אייס דרים 16/4; מעיין 15/4 + קבלה 17/4 (ו׳+ש׳+מ׳ 4מ׳ סה"כ)</t>
        </is>
      </c>
      <c r="G9" s="20" t="n"/>
      <c r="H9" s="20" t="n"/>
      <c r="I9" s="20" t="n"/>
      <c r="J9" s="20" t="n"/>
    </row>
    <row r="10" ht="20" customHeight="1">
      <c r="A10" s="18" t="inlineStr">
        <is>
          <t>סה"כ</t>
        </is>
      </c>
      <c r="B10" s="50" t="n">
        <v>21.9</v>
      </c>
      <c r="C10" s="50" t="n">
        <v>1.7</v>
      </c>
      <c r="D10" s="50" t="n">
        <v>7.3</v>
      </c>
      <c r="E10" s="50" t="n">
        <v>30.9</v>
      </c>
      <c r="F10" s="20" t="n"/>
      <c r="G10" s="20" t="n"/>
      <c r="H10" s="20" t="n"/>
      <c r="I10" s="20" t="n"/>
      <c r="J10" s="20" t="n"/>
    </row>
    <row r="12" ht="22" customHeight="1">
      <c r="A12" s="3" t="inlineStr">
        <is>
          <t>שלב 2 — מועד הפעלת הייצור הראשון (מאי 2026)</t>
        </is>
      </c>
    </row>
    <row r="13" ht="16" customHeight="1">
      <c r="A13" s="51" t="inlineStr">
        <is>
          <t>נותרו 12 ימים עד 1 במאי. המלאי יורד בקצב ביקוש מאי בתקופה זו.</t>
        </is>
      </c>
    </row>
    <row r="14" ht="45" customHeight="1">
      <c r="A14" s="4" t="inlineStr">
        <is>
          <t>טעם</t>
        </is>
      </c>
      <c r="B14" s="4" t="inlineStr">
        <is>
          <t>מלאי
19/4
(משטחים)</t>
        </is>
      </c>
      <c r="C14" s="4" t="inlineStr">
        <is>
          <t>ביקוש
(משטחים/שב')</t>
        </is>
      </c>
      <c r="D14" s="4" t="inlineStr">
        <is>
          <t>ימים עד
1 מאי</t>
        </is>
      </c>
      <c r="E14" s="4" t="inlineStr">
        <is>
          <t>מלאי
משוער 1/5</t>
        </is>
      </c>
      <c r="F14" s="4" t="inlineStr">
        <is>
          <t>מינימום
(משטחים)</t>
        </is>
      </c>
      <c r="G14" s="4" t="inlineStr">
        <is>
          <t>בופר
ממינימום</t>
        </is>
      </c>
      <c r="H14" s="4" t="inlineStr">
        <is>
          <t>שבועות
עד מינימום</t>
        </is>
      </c>
      <c r="I14" s="4" t="inlineStr">
        <is>
          <t>תאריך
הפעלה</t>
        </is>
      </c>
      <c r="J14" s="4" t="inlineStr">
        <is>
          <t>תאריך
אספקה</t>
        </is>
      </c>
      <c r="K14" s="4" t="inlineStr">
        <is>
          <t>זמן
אספקה</t>
        </is>
      </c>
      <c r="L14" s="4" t="inlineStr">
        <is>
          <t>עדיפות</t>
        </is>
      </c>
    </row>
    <row r="15" ht="24" customHeight="1">
      <c r="A15" s="5" t="inlineStr">
        <is>
          <t>וניל</t>
        </is>
      </c>
      <c r="B15" s="6" t="n">
        <v>9.1</v>
      </c>
      <c r="C15" s="52" t="n">
        <v>1.61</v>
      </c>
      <c r="D15" s="29" t="n">
        <v>12</v>
      </c>
      <c r="E15" s="53" t="n">
        <v>6.3</v>
      </c>
      <c r="F15" s="8" t="n">
        <v>4</v>
      </c>
      <c r="G15" s="54" t="n">
        <v>2.3</v>
      </c>
      <c r="H15" s="6" t="n">
        <v>1.4</v>
      </c>
      <c r="I15" s="55" t="inlineStr">
        <is>
          <t>10/05/26</t>
        </is>
      </c>
      <c r="J15" s="56" t="inlineStr">
        <is>
          <t>17/05/26</t>
        </is>
      </c>
      <c r="K15" s="8" t="n">
        <v>1</v>
      </c>
      <c r="L15" s="10" t="inlineStr">
        <is>
          <t>🟢 מתוכנן</t>
        </is>
      </c>
    </row>
    <row r="16" ht="24" customHeight="1">
      <c r="A16" s="11" t="inlineStr">
        <is>
          <t>שוקולד</t>
        </is>
      </c>
      <c r="B16" s="12" t="n">
        <v>5.5</v>
      </c>
      <c r="C16" s="57" t="n">
        <v>1.72</v>
      </c>
      <c r="D16" s="29" t="n">
        <v>12</v>
      </c>
      <c r="E16" s="58" t="n">
        <v>2.6</v>
      </c>
      <c r="F16" s="8" t="n">
        <v>4</v>
      </c>
      <c r="G16" s="59" t="n">
        <v>-1.4</v>
      </c>
      <c r="H16" s="12" t="n">
        <v>0</v>
      </c>
      <c r="I16" s="60" t="inlineStr">
        <is>
          <t>01/05/26</t>
        </is>
      </c>
      <c r="J16" s="56" t="inlineStr">
        <is>
          <t>08/05/26</t>
        </is>
      </c>
      <c r="K16" s="8" t="n">
        <v>1</v>
      </c>
      <c r="L16" s="61" t="inlineStr">
        <is>
          <t>🔴 הזמן מיידית</t>
        </is>
      </c>
    </row>
    <row r="17" ht="24" customHeight="1">
      <c r="A17" s="14" t="inlineStr">
        <is>
          <t>מנגו</t>
        </is>
      </c>
      <c r="B17" s="15" t="n">
        <v>10.5</v>
      </c>
      <c r="C17" s="62" t="n">
        <v>0.95</v>
      </c>
      <c r="D17" s="29" t="n">
        <v>12</v>
      </c>
      <c r="E17" s="53" t="n">
        <v>8.9</v>
      </c>
      <c r="F17" s="8" t="n">
        <v>2</v>
      </c>
      <c r="G17" s="54" t="n">
        <v>6.9</v>
      </c>
      <c r="H17" s="15" t="n">
        <v>7.3</v>
      </c>
      <c r="I17" s="55" t="inlineStr">
        <is>
          <t>21/06/26</t>
        </is>
      </c>
      <c r="J17" s="56" t="inlineStr">
        <is>
          <t>28/06/26</t>
        </is>
      </c>
      <c r="K17" s="8" t="n">
        <v>1</v>
      </c>
      <c r="L17" s="10" t="inlineStr">
        <is>
          <t>🟢 מתוכנן</t>
        </is>
      </c>
    </row>
    <row r="18" ht="24" customHeight="1">
      <c r="A18" s="16" t="inlineStr">
        <is>
          <t>פיסטוק</t>
        </is>
      </c>
      <c r="B18" s="17" t="n">
        <v>5.8</v>
      </c>
      <c r="C18" s="63" t="n">
        <v>0.99</v>
      </c>
      <c r="D18" s="29" t="n">
        <v>12</v>
      </c>
      <c r="E18" s="64" t="n">
        <v>4.1</v>
      </c>
      <c r="F18" s="8" t="n">
        <v>4</v>
      </c>
      <c r="G18" s="54" t="n">
        <v>0.1</v>
      </c>
      <c r="H18" s="17" t="n">
        <v>0.1</v>
      </c>
      <c r="I18" s="60" t="inlineStr">
        <is>
          <t>01/05/26</t>
        </is>
      </c>
      <c r="J18" s="56" t="inlineStr">
        <is>
          <t>15/05/26</t>
        </is>
      </c>
      <c r="K18" s="8" t="n">
        <v>2</v>
      </c>
      <c r="L18" s="13" t="inlineStr">
        <is>
          <t>🟡 שבוע 1</t>
        </is>
      </c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</row>
    <row r="21" ht="22" customHeight="1">
      <c r="A21" s="3" t="inlineStr">
        <is>
          <t>שלב 3 — פעולות מומלצות לפני 1 במאי</t>
        </is>
      </c>
    </row>
    <row r="22">
      <c r="A22" s="65" t="inlineStr">
        <is>
          <t>מועד</t>
        </is>
      </c>
      <c r="B22" s="65" t="inlineStr">
        <is>
          <t>טעם</t>
        </is>
      </c>
      <c r="C22" s="65" t="inlineStr">
        <is>
          <t>משטחים</t>
        </is>
      </c>
      <c r="D22" s="65" t="inlineStr">
        <is>
          <t>פעולה נדרשת</t>
        </is>
      </c>
      <c r="E22" s="20" t="n"/>
      <c r="F22" s="20" t="n"/>
      <c r="G22" s="20" t="n"/>
      <c r="H22" s="20" t="n"/>
      <c r="I22" s="20" t="n"/>
      <c r="J22" s="20" t="n"/>
    </row>
    <row r="23" ht="22" customHeight="1">
      <c r="A23" s="66" t="inlineStr">
        <is>
          <t>היום — 19/4</t>
        </is>
      </c>
      <c r="B23" s="66" t="inlineStr">
        <is>
          <t>🔴 שוקולד</t>
        </is>
      </c>
      <c r="C23" s="66" t="inlineStr">
        <is>
          <t>8 משטחים</t>
        </is>
      </c>
      <c r="D23" s="67" t="inlineStr">
        <is>
          <t>מלאי 5.5מ' — צפי 1/5: 2.5מ' &lt; מינימום 4מ'. הזמן ייצור מיידית → קבלה כ-26/4 (LT=1שב'). OQ=8מ'.</t>
        </is>
      </c>
      <c r="E23" s="20" t="n"/>
      <c r="F23" s="20" t="n"/>
      <c r="G23" s="20" t="n"/>
      <c r="H23" s="20" t="n"/>
      <c r="I23" s="20" t="n"/>
      <c r="J23" s="20" t="n"/>
    </row>
    <row r="24" ht="22" customHeight="1">
      <c r="A24" s="66" t="inlineStr">
        <is>
          <t>היום — 19/4</t>
        </is>
      </c>
      <c r="B24" s="66" t="inlineStr">
        <is>
          <t>🔴 פיסטוק</t>
        </is>
      </c>
      <c r="C24" s="66" t="inlineStr">
        <is>
          <t>2 משטחים</t>
        </is>
      </c>
      <c r="D24" s="67" t="inlineStr">
        <is>
          <t>מלאי 5.8מ' — צפי 1/5: 4.1מ' ≈ מינימום. LT=2שב': הזמן חומ"ג מיידית → קבלה מוקדמת ביותר 3/5. OQ=2מ'.</t>
        </is>
      </c>
      <c r="E24" s="20" t="n"/>
      <c r="F24" s="20" t="n"/>
      <c r="G24" s="20" t="n"/>
      <c r="H24" s="20" t="n"/>
      <c r="I24" s="20" t="n"/>
      <c r="J24" s="20" t="n"/>
    </row>
    <row r="25" ht="22" customHeight="1">
      <c r="A25" s="68" t="inlineStr">
        <is>
          <t>10/5</t>
        </is>
      </c>
      <c r="B25" s="68" t="inlineStr">
        <is>
          <t>🟢 וניל</t>
        </is>
      </c>
      <c r="C25" s="68" t="inlineStr">
        <is>
          <t>7 משטחים</t>
        </is>
      </c>
      <c r="D25" s="69" t="inlineStr">
        <is>
          <t>מלאי 9.1מ' → צפי 1/5: 6.8מ'. הפעל ייצור כשיורד לכ-5מ' (≈10/5). OQ=7מ'.</t>
        </is>
      </c>
      <c r="E25" s="20" t="n"/>
      <c r="F25" s="20" t="n"/>
      <c r="G25" s="20" t="n"/>
      <c r="H25" s="20" t="n"/>
      <c r="I25" s="20" t="n"/>
      <c r="J25" s="20" t="n"/>
    </row>
    <row r="26" ht="22" customHeight="1">
      <c r="A26" s="68" t="inlineStr">
        <is>
          <t>מאוחר יותר</t>
        </is>
      </c>
      <c r="B26" s="68" t="inlineStr">
        <is>
          <t>🟢 מנגו</t>
        </is>
      </c>
      <c r="C26" s="68" t="inlineStr">
        <is>
          <t>5 משטחים</t>
        </is>
      </c>
      <c r="D26" s="69" t="inlineStr">
        <is>
          <t>מלאי 10.5מ' מול מינימום 2מ' — כ-7+ שבועות בופר. עקוב שבועית. OQ=5מ'.</t>
        </is>
      </c>
      <c r="E26" s="20" t="n"/>
      <c r="F26" s="20" t="n"/>
      <c r="G26" s="20" t="n"/>
      <c r="H26" s="20" t="n"/>
      <c r="I26" s="20" t="n"/>
      <c r="J26" s="20" t="n"/>
    </row>
  </sheetData>
  <mergeCells count="14">
    <mergeCell ref="F9:J9"/>
    <mergeCell ref="F7:J7"/>
    <mergeCell ref="A1:J1"/>
    <mergeCell ref="D26:J26"/>
    <mergeCell ref="A2:J2"/>
    <mergeCell ref="D23:J23"/>
    <mergeCell ref="A21:J21"/>
    <mergeCell ref="D25:J25"/>
    <mergeCell ref="A12:J12"/>
    <mergeCell ref="A4:J4"/>
    <mergeCell ref="D24:J24"/>
    <mergeCell ref="F6:J6"/>
    <mergeCell ref="F8:J8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rightToLeft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3" customWidth="1" min="8" max="8"/>
  </cols>
  <sheetData>
    <row r="1" ht="36" customHeight="1">
      <c r="A1" s="25" t="inlineStr">
        <is>
          <t>פיסטוק — ניתוח רגישות (משטחים)</t>
        </is>
      </c>
    </row>
    <row r="2" ht="16" customHeight="1">
      <c r="A2" s="2" t="inlineStr">
        <is>
          <t>השפעת עליית ביקוש על רמות מינ'/מקס' וסיכון חוסר מלאי — טעם עם זמן אספקה מורחב</t>
        </is>
      </c>
    </row>
    <row r="4" ht="22" customHeight="1">
      <c r="A4" s="3" t="inlineStr">
        <is>
          <t>טבלת תרחישים</t>
        </is>
      </c>
    </row>
    <row r="5" ht="32" customHeight="1">
      <c r="A5" s="4" t="inlineStr">
        <is>
          <t>תרחיש</t>
        </is>
      </c>
      <c r="B5" s="4" t="inlineStr">
        <is>
          <t>עלייה</t>
        </is>
      </c>
      <c r="C5" s="4" t="inlineStr">
        <is>
          <t>משטחים/שב'</t>
        </is>
      </c>
      <c r="D5" s="4" t="inlineStr">
        <is>
          <t>מלאי ביטחון
(משטחים)</t>
        </is>
      </c>
      <c r="E5" s="4" t="inlineStr">
        <is>
          <t>ביקוש זמן
אספקה</t>
        </is>
      </c>
      <c r="F5" s="4" t="inlineStr">
        <is>
          <t>מינימום
(משטחים)</t>
        </is>
      </c>
      <c r="G5" s="4" t="inlineStr">
        <is>
          <t>כמות הזמנה
(משטחים)</t>
        </is>
      </c>
      <c r="H5" s="4" t="inlineStr">
        <is>
          <t>מקסימום
(משטחים)</t>
        </is>
      </c>
    </row>
    <row r="6" ht="20" customHeight="1">
      <c r="A6" s="70" t="inlineStr">
        <is>
          <t>תרחיש בסיס</t>
        </is>
      </c>
      <c r="B6" s="31" t="n">
        <v>1</v>
      </c>
      <c r="C6" s="71" t="n">
        <v>0.99</v>
      </c>
      <c r="D6" s="72" t="n">
        <v>2</v>
      </c>
      <c r="E6" s="72" t="n">
        <v>2</v>
      </c>
      <c r="F6" s="73" t="n">
        <v>4</v>
      </c>
      <c r="G6" s="72" t="n">
        <v>2</v>
      </c>
      <c r="H6" s="73" t="n">
        <v>6</v>
      </c>
    </row>
    <row r="7" ht="20" customHeight="1">
      <c r="A7" s="74" t="inlineStr">
        <is>
          <t>+10% עלייה</t>
        </is>
      </c>
      <c r="B7" s="31" t="n">
        <v>1.1</v>
      </c>
      <c r="C7" s="75" t="n">
        <v>1.09</v>
      </c>
      <c r="D7" s="76" t="n">
        <v>3</v>
      </c>
      <c r="E7" s="76" t="n">
        <v>3</v>
      </c>
      <c r="F7" s="73" t="n">
        <v>6</v>
      </c>
      <c r="G7" s="76" t="n">
        <v>2</v>
      </c>
      <c r="H7" s="73" t="n">
        <v>8</v>
      </c>
    </row>
    <row r="8" ht="20" customHeight="1">
      <c r="A8" s="77" t="inlineStr">
        <is>
          <t>+20% עלייה חדה</t>
        </is>
      </c>
      <c r="B8" s="31" t="n">
        <v>1.2</v>
      </c>
      <c r="C8" s="78" t="n">
        <v>1.19</v>
      </c>
      <c r="D8" s="79" t="n">
        <v>3</v>
      </c>
      <c r="E8" s="79" t="n">
        <v>3</v>
      </c>
      <c r="F8" s="73" t="n">
        <v>6</v>
      </c>
      <c r="G8" s="79" t="n">
        <v>2</v>
      </c>
      <c r="H8" s="73" t="n">
        <v>8</v>
      </c>
    </row>
    <row r="9" ht="20" customHeight="1">
      <c r="A9" s="80" t="inlineStr">
        <is>
          <t>+30% עלייה חדה</t>
        </is>
      </c>
      <c r="B9" s="31" t="n">
        <v>1.3</v>
      </c>
      <c r="C9" s="81" t="n">
        <v>1.29</v>
      </c>
      <c r="D9" s="82" t="n">
        <v>3</v>
      </c>
      <c r="E9" s="82" t="n">
        <v>3</v>
      </c>
      <c r="F9" s="73" t="n">
        <v>6</v>
      </c>
      <c r="G9" s="82" t="n">
        <v>2</v>
      </c>
      <c r="H9" s="73" t="n">
        <v>8</v>
      </c>
    </row>
    <row r="11" ht="22" customHeight="1">
      <c r="A11" s="3" t="inlineStr">
        <is>
          <t>סימולציה 8 שבועות — עלייה של +20%</t>
        </is>
      </c>
    </row>
    <row r="12" ht="32" customHeight="1">
      <c r="A12" s="4" t="inlineStr">
        <is>
          <t>שבוע</t>
        </is>
      </c>
      <c r="B12" s="4" t="inlineStr">
        <is>
          <t>פתיחה
(משטחים)</t>
        </is>
      </c>
      <c r="C12" s="4" t="inlineStr">
        <is>
          <t>ביקוש
(משטחים)</t>
        </is>
      </c>
      <c r="D12" s="4" t="inlineStr">
        <is>
          <t>סגירה
(משטחים)</t>
        </is>
      </c>
      <c r="E12" s="4" t="inlineStr">
        <is>
          <t>מינימום
(משטחים)</t>
        </is>
      </c>
      <c r="F12" s="4" t="inlineStr">
        <is>
          <t>הפעלה?</t>
        </is>
      </c>
      <c r="G12" s="4" t="inlineStr">
        <is>
          <t>ייצור
מגיע</t>
        </is>
      </c>
      <c r="H12" s="4" t="inlineStr">
        <is>
          <t>לאחר
קבלה</t>
        </is>
      </c>
    </row>
    <row r="13" ht="18" customHeight="1">
      <c r="A13" s="83" t="inlineStr">
        <is>
          <t>שב' 1</t>
        </is>
      </c>
      <c r="B13" s="17" t="n">
        <v>3.8</v>
      </c>
      <c r="C13" s="63" t="n">
        <v>1.19</v>
      </c>
      <c r="D13" s="17" t="n">
        <v>2.6</v>
      </c>
      <c r="E13" s="79" t="n">
        <v>6</v>
      </c>
      <c r="F13" s="84" t="inlineStr">
        <is>
          <t>▶ הפעל</t>
        </is>
      </c>
      <c r="G13" s="79" t="inlineStr"/>
      <c r="H13" s="17" t="n">
        <v>2.6</v>
      </c>
    </row>
    <row r="14" ht="18" customHeight="1">
      <c r="A14" s="83" t="inlineStr">
        <is>
          <t>שב' 2</t>
        </is>
      </c>
      <c r="B14" s="17" t="n">
        <v>2.6</v>
      </c>
      <c r="C14" s="63" t="n">
        <v>1.19</v>
      </c>
      <c r="D14" s="17" t="n">
        <v>1.4</v>
      </c>
      <c r="E14" s="79" t="n">
        <v>6</v>
      </c>
      <c r="F14" s="84" t="inlineStr">
        <is>
          <t>▶ הפעל</t>
        </is>
      </c>
      <c r="G14" s="79" t="inlineStr"/>
      <c r="H14" s="17" t="n">
        <v>1.4</v>
      </c>
    </row>
    <row r="15" ht="18" customHeight="1">
      <c r="A15" s="83" t="inlineStr">
        <is>
          <t>שב' 3</t>
        </is>
      </c>
      <c r="B15" s="17" t="n">
        <v>1.4</v>
      </c>
      <c r="C15" s="63" t="n">
        <v>1.19</v>
      </c>
      <c r="D15" s="17" t="n">
        <v>0.2</v>
      </c>
      <c r="E15" s="79" t="n">
        <v>6</v>
      </c>
      <c r="F15" s="84" t="inlineStr">
        <is>
          <t>▶ הפעל</t>
        </is>
      </c>
      <c r="G15" s="72" t="n">
        <v>2</v>
      </c>
      <c r="H15" s="17" t="n">
        <v>2.2</v>
      </c>
    </row>
    <row r="16" ht="18" customHeight="1">
      <c r="A16" s="83" t="inlineStr">
        <is>
          <t>שב' 4</t>
        </is>
      </c>
      <c r="B16" s="17" t="n">
        <v>2.2</v>
      </c>
      <c r="C16" s="63" t="n">
        <v>1.19</v>
      </c>
      <c r="D16" s="17" t="n">
        <v>1</v>
      </c>
      <c r="E16" s="79" t="n">
        <v>6</v>
      </c>
      <c r="F16" s="84" t="inlineStr">
        <is>
          <t>▶ הפעל</t>
        </is>
      </c>
      <c r="G16" s="72" t="n">
        <v>2</v>
      </c>
      <c r="H16" s="17" t="n">
        <v>3</v>
      </c>
    </row>
    <row r="17" ht="18" customHeight="1">
      <c r="A17" s="83" t="inlineStr">
        <is>
          <t>שב' 5</t>
        </is>
      </c>
      <c r="B17" s="17" t="n">
        <v>3</v>
      </c>
      <c r="C17" s="63" t="n">
        <v>1.19</v>
      </c>
      <c r="D17" s="17" t="n">
        <v>1.8</v>
      </c>
      <c r="E17" s="79" t="n">
        <v>6</v>
      </c>
      <c r="F17" s="84" t="inlineStr">
        <is>
          <t>▶ הפעל</t>
        </is>
      </c>
      <c r="G17" s="72" t="n">
        <v>2</v>
      </c>
      <c r="H17" s="17" t="n">
        <v>3.8</v>
      </c>
    </row>
    <row r="18" ht="18" customHeight="1">
      <c r="A18" s="83" t="inlineStr">
        <is>
          <t>שב' 6</t>
        </is>
      </c>
      <c r="B18" s="17" t="n">
        <v>3.8</v>
      </c>
      <c r="C18" s="63" t="n">
        <v>1.19</v>
      </c>
      <c r="D18" s="17" t="n">
        <v>2.6</v>
      </c>
      <c r="E18" s="79" t="n">
        <v>6</v>
      </c>
      <c r="F18" s="84" t="inlineStr">
        <is>
          <t>▶ הפעל</t>
        </is>
      </c>
      <c r="G18" s="72" t="n">
        <v>2</v>
      </c>
      <c r="H18" s="17" t="n">
        <v>4.6</v>
      </c>
    </row>
    <row r="19" ht="18" customHeight="1">
      <c r="A19" s="83" t="inlineStr">
        <is>
          <t>שב' 7</t>
        </is>
      </c>
      <c r="B19" s="17" t="n">
        <v>4.6</v>
      </c>
      <c r="C19" s="63" t="n">
        <v>1.19</v>
      </c>
      <c r="D19" s="17" t="n">
        <v>3.4</v>
      </c>
      <c r="E19" s="79" t="n">
        <v>6</v>
      </c>
      <c r="F19" s="84" t="inlineStr">
        <is>
          <t>▶ הפעל</t>
        </is>
      </c>
      <c r="G19" s="72" t="n">
        <v>2</v>
      </c>
      <c r="H19" s="17" t="n">
        <v>5.4</v>
      </c>
    </row>
    <row r="20" ht="18" customHeight="1">
      <c r="A20" s="83" t="inlineStr">
        <is>
          <t>שב' 8</t>
        </is>
      </c>
      <c r="B20" s="17" t="n">
        <v>5.4</v>
      </c>
      <c r="C20" s="63" t="n">
        <v>1.19</v>
      </c>
      <c r="D20" s="17" t="n">
        <v>4.2</v>
      </c>
      <c r="E20" s="79" t="n">
        <v>6</v>
      </c>
      <c r="F20" s="84" t="inlineStr">
        <is>
          <t>▶ הפעל</t>
        </is>
      </c>
      <c r="G20" s="72" t="n">
        <v>2</v>
      </c>
      <c r="H20" s="17" t="n">
        <v>6.2</v>
      </c>
    </row>
    <row r="22" ht="22" customHeight="1">
      <c r="A22" s="3" t="inlineStr">
        <is>
          <t>המלצות לניהול פיסטוק</t>
        </is>
      </c>
    </row>
    <row r="23">
      <c r="A23" s="65" t="inlineStr">
        <is>
          <t>נושא</t>
        </is>
      </c>
      <c r="B23" s="65" t="inlineStr">
        <is>
          <t>פעולה</t>
        </is>
      </c>
      <c r="C23" s="65" t="inlineStr">
        <is>
          <t>נימוק</t>
        </is>
      </c>
      <c r="D23" s="20" t="n"/>
      <c r="E23" s="20" t="n"/>
      <c r="F23" s="20" t="n"/>
      <c r="G23" s="20" t="n"/>
      <c r="H23" s="20" t="n"/>
    </row>
    <row r="24" ht="22" customHeight="1">
      <c r="A24" s="85" t="inlineStr">
        <is>
          <t>הגדרה קבועה</t>
        </is>
      </c>
      <c r="B24" s="85" t="inlineStr">
        <is>
          <t>העלה מינימום ל-6 משטחים</t>
        </is>
      </c>
      <c r="C24" s="86" t="inlineStr">
        <is>
          <t>סופג עלייה של +20% ללא כוונון מחדש. 2 משטחי בופר נוספים.</t>
        </is>
      </c>
      <c r="D24" s="20" t="n"/>
      <c r="E24" s="20" t="n"/>
      <c r="F24" s="20" t="n"/>
      <c r="G24" s="20" t="n"/>
      <c r="H24" s="20" t="n"/>
    </row>
    <row r="25" ht="22" customHeight="1">
      <c r="A25" s="85" t="inlineStr">
        <is>
          <t>הזמנה עומדת לח"ג</t>
        </is>
      </c>
      <c r="B25" s="85" t="inlineStr">
        <is>
          <t>הזמן חומרי גלם כל שבועיים ללא תלות במלאי</t>
        </is>
      </c>
      <c r="C25" s="86" t="inlineStr">
        <is>
          <t>מבטל את עיכוב התגובה של 2 שבועות. אל תחכה לנקודת הזמנה.</t>
        </is>
      </c>
      <c r="D25" s="20" t="n"/>
      <c r="E25" s="20" t="n"/>
      <c r="F25" s="20" t="n"/>
      <c r="G25" s="20" t="n"/>
      <c r="H25" s="20" t="n"/>
    </row>
    <row r="26" ht="22" customHeight="1">
      <c r="A26" s="87" t="inlineStr">
        <is>
          <t>התראה מוקדמת</t>
        </is>
      </c>
      <c r="B26" s="87" t="inlineStr">
        <is>
          <t>שלח התראה כשיורדים מ-8 משטחים</t>
        </is>
      </c>
      <c r="C26" s="69" t="inlineStr">
        <is>
          <t>מראש כשבוע לפני המינימום. מזרים הזמנת ח"ג מוקדמת.</t>
        </is>
      </c>
      <c r="D26" s="20" t="n"/>
      <c r="E26" s="20" t="n"/>
      <c r="F26" s="20" t="n"/>
      <c r="G26" s="20" t="n"/>
      <c r="H26" s="20" t="n"/>
    </row>
    <row r="27" ht="22" customHeight="1">
      <c r="A27" s="87" t="inlineStr">
        <is>
          <t>פרוטוקול גמר NBA</t>
        </is>
      </c>
      <c r="B27" s="87" t="inlineStr">
        <is>
          <t>אם דני אבדיה מגיע לגמר — הפעל מיד +1 משטח חירום</t>
        </is>
      </c>
      <c r="C27" s="69" t="inlineStr">
        <is>
          <t>עלייה צפויה בביקוש מותג טורבו בזמן הגמר.</t>
        </is>
      </c>
      <c r="D27" s="20" t="n"/>
      <c r="E27" s="20" t="n"/>
      <c r="F27" s="20" t="n"/>
      <c r="G27" s="20" t="n"/>
      <c r="H27" s="20" t="n"/>
    </row>
  </sheetData>
  <mergeCells count="9">
    <mergeCell ref="A4:H4"/>
    <mergeCell ref="C25:H25"/>
    <mergeCell ref="C24:H24"/>
    <mergeCell ref="C26:H26"/>
    <mergeCell ref="C27:H27"/>
    <mergeCell ref="A2:H2"/>
    <mergeCell ref="A11:H11"/>
    <mergeCell ref="A1:H1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2026-04-19T09:46:27Z</dcterms:created>
  <dcterms:modified xmlns:dcterms="http://purl.org/dc/terms/" xmlns:xsi="http://www.w3.org/2001/XMLSchema-instance" xsi:type="dcterms:W3CDTF">2026-04-19T09:46:27Z</dcterms:modified>
</cp:coreProperties>
</file>