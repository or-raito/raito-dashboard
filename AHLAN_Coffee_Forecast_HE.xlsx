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הנחות" sheetId="1" state="visible" r:id="rId1"/>
    <sheet xmlns:r="http://schemas.openxmlformats.org/officeDocument/2006/relationships" name="כלכלת יחידה" sheetId="2" state="visible" r:id="rId2"/>
    <sheet xmlns:r="http://schemas.openxmlformats.org/officeDocument/2006/relationships" name="תחזית מכירות" sheetId="3" state="visible" r:id="rId3"/>
    <sheet xmlns:r="http://schemas.openxmlformats.org/officeDocument/2006/relationships" name="ניתוח שוק" sheetId="4" state="visible" r:id="rId4"/>
    <sheet xmlns:r="http://schemas.openxmlformats.org/officeDocument/2006/relationships" name="מודיעין שוק CHP" sheetId="5" state="visible" r:id="rId5"/>
    <sheet xmlns:r="http://schemas.openxmlformats.org/officeDocument/2006/relationships" name="סיכום רווח והפסד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₪#,##0.00"/>
    <numFmt numFmtId="165" formatCode="0.0%"/>
    <numFmt numFmtId="166" formatCode="₪#,##0"/>
    <numFmt numFmtId="167" formatCode="#,##0.0"/>
  </numFmts>
  <fonts count="3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color rgb="001F2D3D"/>
      <sz val="9"/>
    </font>
    <font>
      <name val="Arial"/>
      <color rgb="00000000"/>
      <sz val="10"/>
    </font>
    <font>
      <name val="Arial"/>
      <color rgb="000000FF"/>
      <sz val="10"/>
    </font>
    <font>
      <name val="Arial"/>
      <color rgb="00888888"/>
      <sz val="10"/>
    </font>
    <font>
      <name val="Arial"/>
      <i val="1"/>
      <color rgb="00888888"/>
      <sz val="10"/>
    </font>
    <font>
      <name val="Arial"/>
      <b val="1"/>
      <color rgb="00006100"/>
      <sz val="10"/>
    </font>
    <font>
      <name val="Arial"/>
      <i val="1"/>
      <color rgb="00006100"/>
      <sz val="10"/>
    </font>
    <font>
      <name val="Arial"/>
      <b val="1"/>
      <color rgb="00000000"/>
      <sz val="10"/>
    </font>
    <font>
      <name val="Arial"/>
      <color rgb="00C00000"/>
      <sz val="10"/>
    </font>
    <font>
      <name val="Arial"/>
      <color rgb="00888888"/>
      <sz val="9"/>
    </font>
    <font>
      <name val="Arial"/>
      <color rgb="00000000"/>
      <sz val="9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i val="1"/>
      <color rgb="00444444"/>
      <sz val="9"/>
    </font>
    <font>
      <name val="Arial"/>
      <b val="1"/>
      <color rgb="001F2D3D"/>
      <sz val="8"/>
    </font>
    <font>
      <name val="Arial"/>
      <b val="1"/>
      <color rgb="00006100"/>
      <sz val="9"/>
    </font>
    <font>
      <name val="Arial"/>
      <b val="1"/>
      <color rgb="00FFFFFF"/>
      <sz val="9"/>
    </font>
    <font>
      <name val="Arial"/>
      <b val="1"/>
      <color rgb="001F2D3D"/>
      <sz val="10"/>
    </font>
    <font>
      <name val="Arial"/>
      <i val="1"/>
      <color rgb="00888888"/>
      <sz val="9"/>
    </font>
    <font>
      <name val="Arial"/>
      <i val="1"/>
      <color rgb="00006100"/>
      <sz val="9"/>
    </font>
    <font>
      <name val="Arial"/>
      <color rgb="00006100"/>
      <sz val="9"/>
    </font>
    <font>
      <name val="Arial"/>
      <b val="1"/>
      <color rgb="00FFFFFF"/>
      <sz val="8"/>
    </font>
    <font>
      <name val="Arial"/>
      <b val="1"/>
      <color rgb="002C4462"/>
      <sz val="10"/>
    </font>
    <font>
      <name val="Arial"/>
      <b val="1"/>
      <color rgb="002C4462"/>
      <sz val="9"/>
    </font>
    <font>
      <name val="Arial"/>
      <color rgb="00C00000"/>
      <sz val="9"/>
    </font>
    <font>
      <name val="Arial"/>
      <b val="1"/>
      <color rgb="00000000"/>
      <sz val="9"/>
    </font>
  </fonts>
  <fills count="18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2C4462"/>
      </patternFill>
    </fill>
    <fill>
      <patternFill patternType="solid">
        <fgColor rgb="00D6E4F0"/>
      </patternFill>
    </fill>
    <fill>
      <patternFill patternType="solid">
        <fgColor rgb="00F5F5F5"/>
      </patternFill>
    </fill>
    <fill>
      <patternFill patternType="solid">
        <fgColor rgb="00EEF4FF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6E8D0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FFCE8"/>
      </patternFill>
    </fill>
    <fill>
      <patternFill patternType="solid">
        <fgColor rgb="00EEF9EE"/>
      </patternFill>
    </fill>
    <fill>
      <patternFill patternType="solid">
        <fgColor rgb="00F0FFF0"/>
      </patternFill>
    </fill>
    <fill>
      <patternFill patternType="solid">
        <fgColor rgb="008B4513"/>
      </patternFill>
    </fill>
    <fill>
      <patternFill patternType="solid">
        <fgColor rgb="001A5276"/>
      </patternFill>
    </fill>
  </fills>
  <borders count="2">
    <border>
      <left/>
      <right/>
      <top/>
      <bottom/>
      <diagonal/>
    </border>
    <border>
      <top style="thin"/>
      <bottom style="thin"/>
    </border>
  </borders>
  <cellStyleXfs count="1">
    <xf numFmtId="0" fontId="0" fillId="0" borderId="0"/>
  </cellStyleXfs>
  <cellXfs count="17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right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left" vertical="center"/>
    </xf>
    <xf numFmtId="164" fontId="5" fillId="7" borderId="0" applyAlignment="1" pivotButton="0" quotePrefix="0" xfId="0">
      <alignment horizontal="right" vertical="center"/>
    </xf>
    <xf numFmtId="0" fontId="7" fillId="7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/>
    </xf>
    <xf numFmtId="165" fontId="6" fillId="7" borderId="0" applyAlignment="1" pivotButton="0" quotePrefix="0" xfId="0">
      <alignment horizontal="right" vertical="center"/>
    </xf>
    <xf numFmtId="165" fontId="6" fillId="5" borderId="0" applyAlignment="1" pivotButton="0" quotePrefix="0" xfId="0">
      <alignment horizontal="right" vertical="center"/>
    </xf>
    <xf numFmtId="0" fontId="5" fillId="8" borderId="0" applyAlignment="1" pivotButton="0" quotePrefix="0" xfId="0">
      <alignment horizontal="left" vertical="center"/>
    </xf>
    <xf numFmtId="165" fontId="6" fillId="8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left" vertical="center"/>
    </xf>
    <xf numFmtId="0" fontId="9" fillId="9" borderId="0" applyAlignment="1" pivotButton="0" quotePrefix="0" xfId="0">
      <alignment horizontal="left" vertical="center"/>
    </xf>
    <xf numFmtId="164" fontId="6" fillId="9" borderId="0" applyAlignment="1" pivotButton="0" quotePrefix="0" xfId="0">
      <alignment horizontal="right" vertical="center"/>
    </xf>
    <xf numFmtId="0" fontId="7" fillId="9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left" vertical="center"/>
    </xf>
    <xf numFmtId="164" fontId="5" fillId="5" borderId="0" applyAlignment="1" pivotButton="0" quotePrefix="0" xfId="0">
      <alignment horizontal="right" vertical="center"/>
    </xf>
    <xf numFmtId="166" fontId="6" fillId="7" borderId="0" applyAlignment="1" pivotButton="0" quotePrefix="0" xfId="0">
      <alignment horizontal="right" vertical="center"/>
    </xf>
    <xf numFmtId="166" fontId="5" fillId="7" borderId="0" applyAlignment="1" pivotButton="0" quotePrefix="0" xfId="0">
      <alignment horizontal="right" vertical="center"/>
    </xf>
    <xf numFmtId="166" fontId="5" fillId="5" borderId="0" applyAlignment="1" pivotButton="0" quotePrefix="0" xfId="0">
      <alignment horizontal="right" vertical="center"/>
    </xf>
    <xf numFmtId="3" fontId="6" fillId="7" borderId="0" applyAlignment="1" pivotButton="0" quotePrefix="0" xfId="0">
      <alignment horizontal="right" vertical="center"/>
    </xf>
    <xf numFmtId="3" fontId="6" fillId="5" borderId="0" applyAlignment="1" pivotButton="0" quotePrefix="0" xfId="0">
      <alignment horizontal="right" vertical="center"/>
    </xf>
    <xf numFmtId="0" fontId="11" fillId="10" borderId="0" applyAlignment="1" pivotButton="0" quotePrefix="0" xfId="0">
      <alignment horizontal="left" vertical="center"/>
    </xf>
    <xf numFmtId="2" fontId="6" fillId="10" borderId="0" applyAlignment="1" pivotButton="0" quotePrefix="0" xfId="0">
      <alignment horizontal="right" vertical="center"/>
    </xf>
    <xf numFmtId="0" fontId="8" fillId="10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left" vertical="center"/>
    </xf>
    <xf numFmtId="2" fontId="6" fillId="11" borderId="0" applyAlignment="1" pivotButton="0" quotePrefix="0" xfId="0">
      <alignment horizontal="right" vertical="center"/>
    </xf>
    <xf numFmtId="0" fontId="8" fillId="11" borderId="0" applyAlignment="1" pivotButton="0" quotePrefix="0" xfId="0">
      <alignment horizontal="left" vertical="center"/>
    </xf>
    <xf numFmtId="0" fontId="5" fillId="11" borderId="0" applyAlignment="1" pivotButton="0" quotePrefix="0" xfId="0">
      <alignment horizontal="left" vertical="center"/>
    </xf>
    <xf numFmtId="0" fontId="11" fillId="12" borderId="0" applyAlignment="1" pivotButton="0" quotePrefix="0" xfId="0">
      <alignment horizontal="left" vertical="center"/>
    </xf>
    <xf numFmtId="2" fontId="6" fillId="12" borderId="0" applyAlignment="1" pivotButton="0" quotePrefix="0" xfId="0">
      <alignment horizontal="right" vertical="center"/>
    </xf>
    <xf numFmtId="0" fontId="8" fillId="12" borderId="0" applyAlignment="1" pivotButton="0" quotePrefix="0" xfId="0">
      <alignment horizontal="left" vertical="center"/>
    </xf>
    <xf numFmtId="0" fontId="5" fillId="12" borderId="0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165" fontId="6" fillId="13" borderId="0" applyAlignment="1" pivotButton="0" quotePrefix="0" xfId="0">
      <alignment horizontal="right" vertical="center"/>
    </xf>
    <xf numFmtId="0" fontId="11" fillId="9" borderId="0" applyAlignment="1" pivotButton="0" quotePrefix="0" xfId="0">
      <alignment horizontal="center" vertical="center"/>
    </xf>
    <xf numFmtId="165" fontId="6" fillId="14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 wrapText="1"/>
    </xf>
    <xf numFmtId="164" fontId="9" fillId="9" borderId="0" applyAlignment="1" pivotButton="0" quotePrefix="0" xfId="0">
      <alignment horizontal="right" vertical="center"/>
    </xf>
    <xf numFmtId="0" fontId="2" fillId="9" borderId="0" applyAlignment="1" pivotButton="0" quotePrefix="0" xfId="0">
      <alignment horizontal="left" vertical="center"/>
    </xf>
    <xf numFmtId="164" fontId="6" fillId="7" borderId="0" applyAlignment="1" pivotButton="0" quotePrefix="0" xfId="0">
      <alignment horizontal="right" vertical="center"/>
    </xf>
    <xf numFmtId="0" fontId="2" fillId="7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164" fontId="12" fillId="7" borderId="0" applyAlignment="1" pivotButton="0" quotePrefix="0" xfId="0">
      <alignment horizontal="right" vertical="center"/>
    </xf>
    <xf numFmtId="0" fontId="11" fillId="15" borderId="0" applyAlignment="1" pivotButton="0" quotePrefix="0" xfId="0">
      <alignment horizontal="left" vertical="center"/>
    </xf>
    <xf numFmtId="164" fontId="11" fillId="15" borderId="0" applyAlignment="1" pivotButton="0" quotePrefix="0" xfId="0">
      <alignment horizontal="right" vertical="center"/>
    </xf>
    <xf numFmtId="0" fontId="2" fillId="15" borderId="0" applyAlignment="1" pivotButton="0" quotePrefix="0" xfId="0">
      <alignment horizontal="left" vertical="center"/>
    </xf>
    <xf numFmtId="165" fontId="11" fillId="15" borderId="0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/>
    </xf>
    <xf numFmtId="0" fontId="13" fillId="5" borderId="0" applyAlignment="1" pivotButton="0" quotePrefix="0" xfId="0">
      <alignment horizontal="left" vertical="center"/>
    </xf>
    <xf numFmtId="0" fontId="14" fillId="5" borderId="0" applyAlignment="1" pivotButton="0" quotePrefix="0" xfId="0">
      <alignment horizontal="left" vertical="center" wrapText="1"/>
    </xf>
    <xf numFmtId="0" fontId="11" fillId="7" borderId="0" applyAlignment="1" pivotButton="0" quotePrefix="0" xfId="0">
      <alignment horizontal="left" vertical="center"/>
    </xf>
    <xf numFmtId="0" fontId="13" fillId="7" borderId="0" applyAlignment="1" pivotButton="0" quotePrefix="0" xfId="0">
      <alignment horizontal="left" vertical="center"/>
    </xf>
    <xf numFmtId="0" fontId="14" fillId="7" borderId="0" applyAlignment="1" pivotButton="0" quotePrefix="0" xfId="0">
      <alignment horizontal="left" vertical="center" wrapText="1"/>
    </xf>
    <xf numFmtId="165" fontId="5" fillId="7" borderId="0" applyAlignment="1" pivotButton="0" quotePrefix="0" xfId="0">
      <alignment horizontal="right" vertical="center"/>
    </xf>
    <xf numFmtId="164" fontId="15" fillId="7" borderId="0" applyAlignment="1" pivotButton="0" quotePrefix="0" xfId="0">
      <alignment horizontal="right" vertical="center"/>
    </xf>
    <xf numFmtId="165" fontId="15" fillId="7" borderId="0" applyAlignment="1" pivotButton="0" quotePrefix="0" xfId="0">
      <alignment horizontal="right" vertical="center"/>
    </xf>
    <xf numFmtId="165" fontId="11" fillId="11" borderId="0" applyAlignment="1" pivotButton="0" quotePrefix="0" xfId="0">
      <alignment horizontal="right" vertical="center"/>
    </xf>
    <xf numFmtId="164" fontId="16" fillId="11" borderId="0" applyAlignment="1" pivotButton="0" quotePrefix="0" xfId="0">
      <alignment horizontal="right" vertical="center"/>
    </xf>
    <xf numFmtId="165" fontId="16" fillId="11" borderId="0" applyAlignment="1" pivotButton="0" quotePrefix="0" xfId="0">
      <alignment horizontal="right" vertical="center"/>
    </xf>
    <xf numFmtId="0" fontId="9" fillId="11" borderId="0" applyAlignment="1" pivotButton="0" quotePrefix="0" xfId="0">
      <alignment horizontal="left" vertical="center"/>
    </xf>
    <xf numFmtId="165" fontId="5" fillId="5" borderId="0" applyAlignment="1" pivotButton="0" quotePrefix="0" xfId="0">
      <alignment horizontal="right" vertical="center"/>
    </xf>
    <xf numFmtId="164" fontId="15" fillId="5" borderId="0" applyAlignment="1" pivotButton="0" quotePrefix="0" xfId="0">
      <alignment horizontal="right" vertical="center"/>
    </xf>
    <xf numFmtId="165" fontId="15" fillId="5" borderId="0" applyAlignment="1" pivotButton="0" quotePrefix="0" xfId="0">
      <alignment horizontal="right" vertical="center"/>
    </xf>
    <xf numFmtId="0" fontId="17" fillId="16" borderId="0" applyAlignment="1" pivotButton="0" quotePrefix="0" xfId="0">
      <alignment horizontal="center" vertical="center"/>
    </xf>
    <xf numFmtId="0" fontId="18" fillId="5" borderId="0" applyAlignment="1" pivotButton="0" quotePrefix="0" xfId="0">
      <alignment horizontal="left" vertical="center"/>
    </xf>
    <xf numFmtId="0" fontId="19" fillId="4" borderId="0" applyAlignment="1" pivotButton="0" quotePrefix="0" xfId="0">
      <alignment horizontal="center" vertical="center" wrapText="1"/>
    </xf>
    <xf numFmtId="165" fontId="14" fillId="11" borderId="0" applyAlignment="1" pivotButton="0" quotePrefix="0" xfId="0">
      <alignment horizontal="right" vertical="center"/>
    </xf>
    <xf numFmtId="166" fontId="14" fillId="11" borderId="0" applyAlignment="1" pivotButton="0" quotePrefix="0" xfId="0">
      <alignment horizontal="right" vertical="center"/>
    </xf>
    <xf numFmtId="3" fontId="14" fillId="11" borderId="0" applyAlignment="1" pivotButton="0" quotePrefix="0" xfId="0">
      <alignment horizontal="right" vertical="center"/>
    </xf>
    <xf numFmtId="165" fontId="13" fillId="11" borderId="0" applyAlignment="1" pivotButton="0" quotePrefix="0" xfId="0">
      <alignment horizontal="right" vertical="center"/>
    </xf>
    <xf numFmtId="165" fontId="13" fillId="9" borderId="0" applyAlignment="1" pivotButton="0" quotePrefix="0" xfId="0">
      <alignment horizontal="right" vertical="center"/>
    </xf>
    <xf numFmtId="166" fontId="20" fillId="9" borderId="0" applyAlignment="1" pivotButton="0" quotePrefix="0" xfId="0">
      <alignment horizontal="right" vertical="center"/>
    </xf>
    <xf numFmtId="3" fontId="20" fillId="9" borderId="0" applyAlignment="1" pivotButton="0" quotePrefix="0" xfId="0">
      <alignment horizontal="right" vertical="center"/>
    </xf>
    <xf numFmtId="165" fontId="20" fillId="9" borderId="0" applyAlignment="1" pivotButton="0" quotePrefix="0" xfId="0">
      <alignment horizontal="right" vertical="center"/>
    </xf>
    <xf numFmtId="165" fontId="13" fillId="5" borderId="0" applyAlignment="1" pivotButton="0" quotePrefix="0" xfId="0">
      <alignment horizontal="right" vertical="center"/>
    </xf>
    <xf numFmtId="166" fontId="14" fillId="5" borderId="0" applyAlignment="1" pivotButton="0" quotePrefix="0" xfId="0">
      <alignment horizontal="right" vertical="center"/>
    </xf>
    <xf numFmtId="3" fontId="14" fillId="5" borderId="0" applyAlignment="1" pivotButton="0" quotePrefix="0" xfId="0">
      <alignment horizontal="right" vertical="center"/>
    </xf>
    <xf numFmtId="165" fontId="14" fillId="5" borderId="0" applyAlignment="1" pivotButton="0" quotePrefix="0" xfId="0">
      <alignment horizontal="right" vertical="center"/>
    </xf>
    <xf numFmtId="165" fontId="13" fillId="7" borderId="0" applyAlignment="1" pivotButton="0" quotePrefix="0" xfId="0">
      <alignment horizontal="right" vertical="center"/>
    </xf>
    <xf numFmtId="166" fontId="14" fillId="7" borderId="0" applyAlignment="1" pivotButton="0" quotePrefix="0" xfId="0">
      <alignment horizontal="right" vertical="center"/>
    </xf>
    <xf numFmtId="3" fontId="14" fillId="7" borderId="0" applyAlignment="1" pivotButton="0" quotePrefix="0" xfId="0">
      <alignment horizontal="right" vertical="center"/>
    </xf>
    <xf numFmtId="165" fontId="14" fillId="7" borderId="0" applyAlignment="1" pivotButton="0" quotePrefix="0" xfId="0">
      <alignment horizontal="right" vertical="center"/>
    </xf>
    <xf numFmtId="0" fontId="21" fillId="16" borderId="1" applyAlignment="1" pivotButton="0" quotePrefix="0" xfId="0">
      <alignment horizontal="center" vertical="center"/>
    </xf>
    <xf numFmtId="166" fontId="21" fillId="16" borderId="1" applyAlignment="1" pivotButton="0" quotePrefix="0" xfId="0">
      <alignment horizontal="right" vertical="center"/>
    </xf>
    <xf numFmtId="3" fontId="21" fillId="16" borderId="1" applyAlignment="1" pivotButton="0" quotePrefix="0" xfId="0">
      <alignment horizontal="right" vertical="center"/>
    </xf>
    <xf numFmtId="165" fontId="21" fillId="16" borderId="1" applyAlignment="1" pivotButton="0" quotePrefix="0" xfId="0">
      <alignment horizontal="right" vertical="center"/>
    </xf>
    <xf numFmtId="0" fontId="17" fillId="3" borderId="0" applyAlignment="1" pivotButton="0" quotePrefix="0" xfId="0">
      <alignment horizontal="center" vertical="center"/>
    </xf>
    <xf numFmtId="0" fontId="21" fillId="3" borderId="1" applyAlignment="1" pivotButton="0" quotePrefix="0" xfId="0">
      <alignment horizontal="center" vertical="center"/>
    </xf>
    <xf numFmtId="166" fontId="21" fillId="3" borderId="1" applyAlignment="1" pivotButton="0" quotePrefix="0" xfId="0">
      <alignment horizontal="right" vertical="center"/>
    </xf>
    <xf numFmtId="3" fontId="21" fillId="3" borderId="1" applyAlignment="1" pivotButton="0" quotePrefix="0" xfId="0">
      <alignment horizontal="right" vertical="center"/>
    </xf>
    <xf numFmtId="165" fontId="21" fillId="3" borderId="1" applyAlignment="1" pivotButton="0" quotePrefix="0" xfId="0">
      <alignment horizontal="right" vertical="center"/>
    </xf>
    <xf numFmtId="0" fontId="17" fillId="17" borderId="0" applyAlignment="1" pivotButton="0" quotePrefix="0" xfId="0">
      <alignment horizontal="center" vertical="center"/>
    </xf>
    <xf numFmtId="0" fontId="21" fillId="17" borderId="1" applyAlignment="1" pivotButton="0" quotePrefix="0" xfId="0">
      <alignment horizontal="center" vertical="center"/>
    </xf>
    <xf numFmtId="166" fontId="21" fillId="17" borderId="1" applyAlignment="1" pivotButton="0" quotePrefix="0" xfId="0">
      <alignment horizontal="right" vertical="center"/>
    </xf>
    <xf numFmtId="3" fontId="21" fillId="17" borderId="1" applyAlignment="1" pivotButton="0" quotePrefix="0" xfId="0">
      <alignment horizontal="right" vertical="center"/>
    </xf>
    <xf numFmtId="165" fontId="21" fillId="17" borderId="1" applyAlignment="1" pivotButton="0" quotePrefix="0" xfId="0">
      <alignment horizontal="right" vertical="center"/>
    </xf>
    <xf numFmtId="0" fontId="22" fillId="11" borderId="0" applyAlignment="1" pivotButton="0" quotePrefix="0" xfId="0">
      <alignment horizontal="left" vertical="center"/>
    </xf>
    <xf numFmtId="167" fontId="22" fillId="11" borderId="0" applyAlignment="1" pivotButton="0" quotePrefix="0" xfId="0">
      <alignment horizontal="right" vertical="center"/>
    </xf>
    <xf numFmtId="167" fontId="5" fillId="7" borderId="0" applyAlignment="1" pivotButton="0" quotePrefix="0" xfId="0">
      <alignment horizontal="right" vertical="center"/>
    </xf>
    <xf numFmtId="167" fontId="5" fillId="5" borderId="0" applyAlignment="1" pivotButton="0" quotePrefix="0" xfId="0">
      <alignment horizontal="right" vertical="center"/>
    </xf>
    <xf numFmtId="167" fontId="9" fillId="9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right" vertical="center"/>
    </xf>
    <xf numFmtId="0" fontId="22" fillId="12" borderId="0" applyAlignment="1" pivotButton="0" quotePrefix="0" xfId="0">
      <alignment horizontal="left" vertical="center"/>
    </xf>
    <xf numFmtId="166" fontId="22" fillId="12" borderId="0" applyAlignment="1" pivotButton="0" quotePrefix="0" xfId="0">
      <alignment horizontal="right" vertical="center"/>
    </xf>
    <xf numFmtId="165" fontId="5" fillId="7" borderId="0" applyAlignment="1" pivotButton="0" quotePrefix="0" xfId="0">
      <alignment horizontal="right" vertical="center"/>
    </xf>
    <xf numFmtId="165" fontId="5" fillId="5" borderId="0" applyAlignment="1" pivotButton="0" quotePrefix="0" xfId="0">
      <alignment horizontal="right" vertical="center"/>
    </xf>
    <xf numFmtId="165" fontId="9" fillId="9" borderId="0" applyAlignment="1" pivotButton="0" quotePrefix="0" xfId="0">
      <alignment horizontal="right" vertical="center"/>
    </xf>
    <xf numFmtId="0" fontId="5" fillId="7" borderId="0" applyAlignment="1" pivotButton="0" quotePrefix="0" xfId="0">
      <alignment horizontal="right" vertical="center"/>
    </xf>
    <xf numFmtId="0" fontId="22" fillId="4" borderId="0" applyAlignment="1" pivotButton="0" quotePrefix="0" xfId="0">
      <alignment horizontal="left" vertical="center"/>
    </xf>
    <xf numFmtId="0" fontId="22" fillId="4" borderId="0" applyAlignment="1" pivotButton="0" quotePrefix="0" xfId="0">
      <alignment horizontal="center" vertical="center"/>
    </xf>
    <xf numFmtId="166" fontId="15" fillId="5" borderId="0" applyAlignment="1" pivotButton="0" quotePrefix="0" xfId="0">
      <alignment horizontal="right" vertical="center"/>
    </xf>
    <xf numFmtId="166" fontId="15" fillId="7" borderId="0" applyAlignment="1" pivotButton="0" quotePrefix="0" xfId="0">
      <alignment horizontal="right" vertical="center"/>
    </xf>
    <xf numFmtId="3" fontId="15" fillId="5" borderId="0" applyAlignment="1" pivotButton="0" quotePrefix="0" xfId="0">
      <alignment horizontal="right" vertical="center"/>
    </xf>
    <xf numFmtId="0" fontId="23" fillId="5" borderId="0" applyAlignment="1" pivotButton="0" quotePrefix="0" xfId="0">
      <alignment horizontal="left" vertical="center"/>
    </xf>
    <xf numFmtId="0" fontId="23" fillId="7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/>
    </xf>
    <xf numFmtId="0" fontId="24" fillId="9" borderId="0" applyAlignment="1" pivotButton="0" quotePrefix="0" xfId="0">
      <alignment horizontal="left" vertical="center"/>
    </xf>
    <xf numFmtId="0" fontId="13" fillId="5" borderId="0" applyAlignment="1" pivotButton="0" quotePrefix="0" xfId="0">
      <alignment horizontal="left" vertical="center" wrapText="1"/>
    </xf>
    <xf numFmtId="0" fontId="13" fillId="7" borderId="0" applyAlignment="1" pivotButton="0" quotePrefix="0" xfId="0">
      <alignment horizontal="left" vertical="center" wrapText="1"/>
    </xf>
    <xf numFmtId="0" fontId="14" fillId="5" borderId="0" applyAlignment="1" pivotButton="0" quotePrefix="0" xfId="0">
      <alignment horizontal="left" vertical="center"/>
    </xf>
    <xf numFmtId="0" fontId="14" fillId="7" borderId="0" applyAlignment="1" pivotButton="0" quotePrefix="0" xfId="0">
      <alignment horizontal="left" vertical="center"/>
    </xf>
    <xf numFmtId="0" fontId="13" fillId="12" borderId="0" applyAlignment="1" pivotButton="0" quotePrefix="0" xfId="0">
      <alignment horizontal="left" vertical="center"/>
    </xf>
    <xf numFmtId="0" fontId="25" fillId="12" borderId="0" applyAlignment="1" pivotButton="0" quotePrefix="0" xfId="0">
      <alignment horizontal="left" vertical="center"/>
    </xf>
    <xf numFmtId="0" fontId="23" fillId="12" borderId="0" applyAlignment="1" pivotButton="0" quotePrefix="0" xfId="0">
      <alignment horizontal="left" vertical="center"/>
    </xf>
    <xf numFmtId="3" fontId="5" fillId="5" borderId="0" applyAlignment="1" pivotButton="0" quotePrefix="0" xfId="0">
      <alignment horizontal="right" vertical="center"/>
    </xf>
    <xf numFmtId="3" fontId="5" fillId="7" borderId="0" applyAlignment="1" pivotButton="0" quotePrefix="0" xfId="0">
      <alignment horizontal="right" vertical="center"/>
    </xf>
    <xf numFmtId="3" fontId="9" fillId="9" borderId="0" applyAlignment="1" pivotButton="0" quotePrefix="0" xfId="0">
      <alignment horizontal="right" vertical="center"/>
    </xf>
    <xf numFmtId="0" fontId="10" fillId="11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20" fillId="9" borderId="0" applyAlignment="1" pivotButton="0" quotePrefix="0" xfId="0">
      <alignment horizontal="left" vertical="center"/>
    </xf>
    <xf numFmtId="3" fontId="5" fillId="5" borderId="0" applyAlignment="1" pivotButton="0" quotePrefix="0" xfId="0">
      <alignment horizontal="right" vertical="center"/>
    </xf>
    <xf numFmtId="3" fontId="5" fillId="7" borderId="0" applyAlignment="1" pivotButton="0" quotePrefix="0" xfId="0">
      <alignment horizontal="right" vertical="center"/>
    </xf>
    <xf numFmtId="3" fontId="9" fillId="9" borderId="0" applyAlignment="1" pivotButton="0" quotePrefix="0" xfId="0">
      <alignment horizontal="right" vertical="center"/>
    </xf>
    <xf numFmtId="0" fontId="11" fillId="4" borderId="0" applyAlignment="1" pivotButton="0" quotePrefix="0" xfId="0">
      <alignment horizontal="left" vertical="center"/>
    </xf>
    <xf numFmtId="0" fontId="3" fillId="16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17" borderId="0" applyAlignment="1" pivotButton="0" quotePrefix="0" xfId="0">
      <alignment horizontal="center" vertical="center"/>
    </xf>
    <xf numFmtId="0" fontId="4" fillId="4" borderId="0" pivotButton="0" quotePrefix="0" xfId="0"/>
    <xf numFmtId="0" fontId="26" fillId="16" borderId="0" applyAlignment="1" pivotButton="0" quotePrefix="0" xfId="0">
      <alignment horizontal="center" vertical="center" wrapText="1"/>
    </xf>
    <xf numFmtId="0" fontId="26" fillId="3" borderId="0" applyAlignment="1" pivotButton="0" quotePrefix="0" xfId="0">
      <alignment horizontal="center" vertical="center" wrapText="1"/>
    </xf>
    <xf numFmtId="0" fontId="26" fillId="17" borderId="0" applyAlignment="1" pivotButton="0" quotePrefix="0" xfId="0">
      <alignment horizontal="center" vertical="center" wrapText="1"/>
    </xf>
    <xf numFmtId="0" fontId="27" fillId="5" borderId="0" applyAlignment="1" pivotButton="0" quotePrefix="0" xfId="0">
      <alignment horizontal="left" vertical="center"/>
    </xf>
    <xf numFmtId="166" fontId="28" fillId="5" borderId="0" applyAlignment="1" pivotButton="0" quotePrefix="0" xfId="0">
      <alignment horizontal="right" vertical="center"/>
    </xf>
    <xf numFmtId="0" fontId="7" fillId="7" borderId="0" applyAlignment="1" pivotButton="0" quotePrefix="0" xfId="0">
      <alignment horizontal="left" vertical="center"/>
    </xf>
    <xf numFmtId="166" fontId="13" fillId="7" borderId="0" applyAlignment="1" pivotButton="0" quotePrefix="0" xfId="0">
      <alignment horizontal="right" vertical="center"/>
    </xf>
    <xf numFmtId="166" fontId="20" fillId="11" borderId="0" applyAlignment="1" pivotButton="0" quotePrefix="0" xfId="0">
      <alignment horizontal="right" vertical="center"/>
    </xf>
    <xf numFmtId="0" fontId="12" fillId="7" borderId="0" applyAlignment="1" pivotButton="0" quotePrefix="0" xfId="0">
      <alignment horizontal="left" vertical="center"/>
    </xf>
    <xf numFmtId="166" fontId="29" fillId="7" borderId="0" applyAlignment="1" pivotButton="0" quotePrefix="0" xfId="0">
      <alignment horizontal="right" vertical="center"/>
    </xf>
    <xf numFmtId="166" fontId="30" fillId="11" borderId="0" applyAlignment="1" pivotButton="0" quotePrefix="0" xfId="0">
      <alignment horizontal="right" vertical="center"/>
    </xf>
    <xf numFmtId="165" fontId="30" fillId="7" borderId="0" applyAlignment="1" pivotButton="0" quotePrefix="0" xfId="0">
      <alignment horizontal="right" vertical="center"/>
    </xf>
    <xf numFmtId="0" fontId="7" fillId="5" borderId="0" applyAlignment="1" pivotButton="0" quotePrefix="0" xfId="0">
      <alignment horizontal="left" vertical="center"/>
    </xf>
    <xf numFmtId="3" fontId="13" fillId="5" borderId="0" applyAlignment="1" pivotButton="0" quotePrefix="0" xfId="0">
      <alignment horizontal="right" vertical="center"/>
    </xf>
    <xf numFmtId="164" fontId="27" fillId="5" borderId="0" applyAlignment="1" pivotButton="0" quotePrefix="0" xfId="0">
      <alignment horizontal="right" vertical="center"/>
    </xf>
    <xf numFmtId="164" fontId="7" fillId="7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4" fontId="9" fillId="5" borderId="0" applyAlignment="1" pivotButton="0" quotePrefix="0" xfId="0">
      <alignment horizontal="right" vertical="center"/>
    </xf>
    <xf numFmtId="164" fontId="11" fillId="5" borderId="0" applyAlignment="1" pivotButton="0" quotePrefix="0" xfId="0">
      <alignment horizontal="right" vertical="center"/>
    </xf>
    <xf numFmtId="165" fontId="11" fillId="7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D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6" customWidth="1" min="3" max="3"/>
    <col width="62" customWidth="1" min="4" max="4"/>
  </cols>
  <sheetData>
    <row r="1" ht="28" customHeight="1">
      <c r="A1" s="1" t="inlineStr">
        <is>
          <t>AHLAN קפה 150g — הנחות מודל  (גרסה 3 המונעת בנוסחה)</t>
        </is>
      </c>
    </row>
    <row r="2">
      <c r="A2" s="2" t="inlineStr">
        <is>
          <t>תאים כחולים = קלט  |  תאים שחורים = נוסחאות  |  צהוב = לאישור  |  כל הגיליונות מתעדכנים אוטומטית כשמשנים ערך כאן</t>
        </is>
      </c>
    </row>
    <row r="4">
      <c r="A4" s="3" t="inlineStr">
        <is>
          <t>A. מוצר</t>
        </is>
      </c>
    </row>
    <row r="5">
      <c r="A5" s="4" t="inlineStr">
        <is>
          <t>קלט</t>
        </is>
      </c>
      <c r="B5" s="5" t="inlineStr">
        <is>
          <t>ערך</t>
        </is>
      </c>
      <c r="C5" s="5" t="inlineStr">
        <is>
          <t>יחידה</t>
        </is>
      </c>
      <c r="D5" s="5" t="inlineStr">
        <is>
          <t>הערות / מקור</t>
        </is>
      </c>
    </row>
    <row r="6">
      <c r="A6" s="6" t="inlineStr">
        <is>
          <t>עלות ייצור ל-100 גרם (מאושר — Rajuan)</t>
        </is>
      </c>
      <c r="B6" s="7" t="n">
        <v>3.7</v>
      </c>
      <c r="C6" s="8" t="inlineStr">
        <is>
          <t>₪/100g</t>
        </is>
      </c>
      <c r="D6" s="9" t="inlineStr">
        <is>
          <t>הצעת מחיר מאושרת מהספק</t>
        </is>
      </c>
    </row>
    <row r="7">
      <c r="A7" s="10" t="inlineStr">
        <is>
          <t>עלות ייצור ל-150 גרם  (= עלות 100 גרם × 1.5)</t>
        </is>
      </c>
      <c r="B7" s="11">
        <f>הנחות!$B$6*1.5</f>
        <v/>
      </c>
      <c r="C7" s="12" t="inlineStr">
        <is>
          <t>₪/150g</t>
        </is>
      </c>
      <c r="D7" s="13" t="inlineStr">
        <is>
          <t>נוסחה: =B6*1.5  |  ₪3.70 × 1.5 = ₪5.55</t>
        </is>
      </c>
    </row>
    <row r="9">
      <c r="A9" s="3" t="inlineStr">
        <is>
          <t>B. תמחור  —  המלצת מחיר B2B</t>
        </is>
      </c>
    </row>
    <row r="10">
      <c r="A10" s="4" t="inlineStr">
        <is>
          <t>פרמטר</t>
        </is>
      </c>
      <c r="B10" s="5" t="inlineStr">
        <is>
          <t>ערך</t>
        </is>
      </c>
      <c r="C10" s="5" t="inlineStr">
        <is>
          <t>יחידה</t>
        </is>
      </c>
      <c r="D10" s="5" t="inlineStr">
        <is>
          <t>הערות</t>
        </is>
      </c>
    </row>
    <row r="11">
      <c r="A11" s="10" t="inlineStr">
        <is>
          <t>שיעור מע״מ</t>
        </is>
      </c>
      <c r="B11" s="14" t="n">
        <v>0.18</v>
      </c>
      <c r="C11" s="12" t="inlineStr">
        <is>
          <t>%</t>
        </is>
      </c>
      <c r="D11" s="13" t="inlineStr">
        <is>
          <t>תקן ישראלי</t>
        </is>
      </c>
    </row>
    <row r="12">
      <c r="A12" s="6" t="inlineStr">
        <is>
          <t>מרווח קמעונאי — רשתות מאורגנות (שופרסל...)</t>
        </is>
      </c>
      <c r="B12" s="15" t="n">
        <v>0.3</v>
      </c>
      <c r="C12" s="8" t="inlineStr">
        <is>
          <t>%</t>
        </is>
      </c>
      <c r="D12" s="9" t="inlineStr">
        <is>
          <t>מרווח קמעונאי טיפוסי ברשתות</t>
        </is>
      </c>
    </row>
    <row r="13">
      <c r="A13" s="10" t="inlineStr">
        <is>
          <t>מרווח קמעונאי — שוק פרטי / ערוץ מעיין</t>
        </is>
      </c>
      <c r="B13" s="14" t="n">
        <v>0.2</v>
      </c>
      <c r="C13" s="12" t="inlineStr">
        <is>
          <t>%</t>
        </is>
      </c>
      <c r="D13" s="13" t="inlineStr">
        <is>
          <t>מרווח נמוך יותר בחנויות עצמאיות (שוק, מינימרקטים)</t>
        </is>
      </c>
    </row>
    <row r="14">
      <c r="A14" s="16" t="inlineStr">
        <is>
          <t>עמלת הפצה מעיין</t>
        </is>
      </c>
      <c r="B14" s="17" t="n">
        <v>0.18</v>
      </c>
      <c r="C14" s="18" t="inlineStr">
        <is>
          <t>%</t>
        </is>
      </c>
      <c r="D14" s="19" t="inlineStr">
        <is>
          <t>טווח 15–25% — 18% תרחיש בסיס  ⚠ לאשר עם מעיין</t>
        </is>
      </c>
    </row>
    <row r="15">
      <c r="A15" s="20" t="inlineStr">
        <is>
          <t>מחיר B2B מומלץ ליחידה  (Raito → שוק)</t>
        </is>
      </c>
      <c r="B15" s="21" t="n">
        <v>10.5</v>
      </c>
      <c r="C15" s="22" t="inlineStr">
        <is>
          <t>₪/unit</t>
        </is>
      </c>
      <c r="D15" s="23" t="inlineStr">
        <is>
          <t>המלצת Claude — ראה כלכלת יחידה לנימוק מלא</t>
        </is>
      </c>
    </row>
    <row r="16">
      <c r="A16" s="9" t="inlineStr">
        <is>
          <t>מחיר מדף B2C משתמע — קמעונאות מאורגנת (30% ret)</t>
        </is>
      </c>
      <c r="B16" s="24">
        <f>הנחות!$B$15/(1-הנחות!$B$12)*(1+הנחות!$B$11)</f>
        <v/>
      </c>
      <c r="C16" s="8" t="inlineStr">
        <is>
          <t>₪/unit</t>
        </is>
      </c>
      <c r="D16" s="9" t="inlineStr">
        <is>
          <t>לעיון בלבד — שוק פרטי הוא הערוץ העיקרי</t>
        </is>
      </c>
    </row>
    <row r="17">
      <c r="A17" s="13" t="inlineStr">
        <is>
          <t>מחיר מדף B2C משתמע — שוק פרטי (20% ret)</t>
        </is>
      </c>
      <c r="B17" s="11">
        <f>הנחות!$B$15/(1-הנחות!$B$13)*(1+הנחות!$B$11)</f>
        <v/>
      </c>
      <c r="C17" s="12" t="inlineStr">
        <is>
          <t>₪/unit</t>
        </is>
      </c>
      <c r="D17" s="13" t="inlineStr">
        <is>
          <t>ערוץ עיקרי: מעיין → חנויות עצמאיות</t>
        </is>
      </c>
    </row>
    <row r="19">
      <c r="A19" s="3" t="inlineStr">
        <is>
          <t>C. גודל שוק</t>
        </is>
      </c>
    </row>
    <row r="20">
      <c r="A20" s="4" t="inlineStr">
        <is>
          <t>פרמטר</t>
        </is>
      </c>
      <c r="B20" s="5" t="inlineStr">
        <is>
          <t>ערך</t>
        </is>
      </c>
      <c r="C20" s="5" t="inlineStr">
        <is>
          <t>יחידה</t>
        </is>
      </c>
      <c r="D20" s="5" t="inlineStr">
        <is>
          <t>הערות / מקור</t>
        </is>
      </c>
    </row>
    <row r="21">
      <c r="A21" s="10" t="inlineStr">
        <is>
          <t>שוק הקפה השחור הכולל (ערך B2C שנתי)</t>
        </is>
      </c>
      <c r="B21" s="25" t="n">
        <v>350000000</v>
      </c>
      <c r="C21" s="12" t="inlineStr">
        <is>
          <t>₪/year</t>
        </is>
      </c>
      <c r="D21" s="13" t="inlineStr">
        <is>
          <t>גודל שוק מאושר — מקור: לקוח / תעשייה</t>
        </is>
      </c>
    </row>
    <row r="22">
      <c r="A22" s="6" t="inlineStr">
        <is>
          <t>נתח שוק יעד AHLAN — דצמבר 2026 (קצב ריצה)</t>
        </is>
      </c>
      <c r="B22" s="15" t="n">
        <v>0.1</v>
      </c>
      <c r="C22" s="8" t="inlineStr">
        <is>
          <t>%</t>
        </is>
      </c>
      <c r="D22" s="9" t="inlineStr">
        <is>
          <t>יעד: 10% = ₪35M B2C שנתי בסוף העקומה</t>
        </is>
      </c>
    </row>
    <row r="23">
      <c r="A23" s="10" t="inlineStr">
        <is>
          <t>הכנסות B2C שנתיות ביעד</t>
        </is>
      </c>
      <c r="B23" s="26">
        <f>הנחות!$B$21*הנחות!$B$22</f>
        <v/>
      </c>
      <c r="C23" s="12" t="inlineStr">
        <is>
          <t>₪/year</t>
        </is>
      </c>
      <c r="D23" s="13" t="inlineStr">
        <is>
          <t>נוסחה: =הנחות!$B$21*הנחות!$B$22</t>
        </is>
      </c>
    </row>
    <row r="24">
      <c r="A24" s="6" t="inlineStr">
        <is>
          <t>הכנסות B2C חודשיות ביעד (÷ 12)</t>
        </is>
      </c>
      <c r="B24" s="27">
        <f>הנחות!$B$21*הנחות!$B$22/12</f>
        <v/>
      </c>
      <c r="C24" s="8" t="inlineStr">
        <is>
          <t>₪/month</t>
        </is>
      </c>
      <c r="D24" s="9" t="inlineStr">
        <is>
          <t>נוסחה: מעל/12</t>
        </is>
      </c>
    </row>
    <row r="25">
      <c r="A25" s="10" t="inlineStr">
        <is>
          <t>מכפיל פאנל Store Next — נמוך</t>
        </is>
      </c>
      <c r="B25" s="28" t="n">
        <v>15</v>
      </c>
      <c r="C25" s="12" t="inlineStr">
        <is>
          <t>×</t>
        </is>
      </c>
      <c r="D25" s="13" t="inlineStr">
        <is>
          <t>Store Next מכסה רק קמעונאות מאורגנת; שוק פרטי מוסיף 15–20× יותר נקודות מכירה</t>
        </is>
      </c>
    </row>
    <row r="26">
      <c r="A26" s="6" t="inlineStr">
        <is>
          <t>מכפיל פאנל Store Next — גבוה</t>
        </is>
      </c>
      <c r="B26" s="29" t="n">
        <v>20</v>
      </c>
      <c r="C26" s="8" t="inlineStr">
        <is>
          <t>×</t>
        </is>
      </c>
      <c r="D26" s="9" t="inlineStr">
        <is>
          <t>גבול עליון — משמש להקשר / אימות בלבד</t>
        </is>
      </c>
    </row>
    <row r="28">
      <c r="A28" s="3" t="inlineStr">
        <is>
          <t>D. מקדמי תרחיש</t>
        </is>
      </c>
    </row>
    <row r="29">
      <c r="A29" s="4" t="inlineStr">
        <is>
          <t>תרחיש</t>
        </is>
      </c>
      <c r="B29" s="5" t="inlineStr">
        <is>
          <t>מקדם</t>
        </is>
      </c>
      <c r="C29" s="5" t="inlineStr">
        <is>
          <t>נתח דצמ' 2026</t>
        </is>
      </c>
      <c r="D29" s="5" t="inlineStr">
        <is>
          <t>תיאור</t>
        </is>
      </c>
    </row>
    <row r="30">
      <c r="A30" s="30" t="inlineStr">
        <is>
          <t>שמרני</t>
        </is>
      </c>
      <c r="B30" s="31" t="n">
        <v>0.7</v>
      </c>
      <c r="C30" s="32" t="inlineStr">
        <is>
          <t>7% דצמ' 26 → 8.4% דצמ' 27</t>
        </is>
      </c>
      <c r="D30" s="33" t="inlineStr">
        <is>
          <t>שיווק מתחת לציפיות — עדיין חזק לעומת השקה ללא סלבריטי</t>
        </is>
      </c>
    </row>
    <row r="31">
      <c r="A31" s="34" t="inlineStr">
        <is>
          <t>בסיס</t>
        </is>
      </c>
      <c r="B31" s="35" t="n">
        <v>1</v>
      </c>
      <c r="C31" s="36" t="inlineStr">
        <is>
          <t>10% דצמ' 26 → 12% דצמ' 27</t>
        </is>
      </c>
      <c r="D31" s="37" t="inlineStr">
        <is>
          <t>לפי תוכנית — קמפיין Ma Kashur מספק כמתוכנן (3 שלבים)</t>
        </is>
      </c>
    </row>
    <row r="32">
      <c r="A32" s="38" t="inlineStr">
        <is>
          <t>אופטימי</t>
        </is>
      </c>
      <c r="B32" s="39" t="n">
        <v>1.3</v>
      </c>
      <c r="C32" s="40" t="inlineStr">
        <is>
          <t>13% דצמ' 26 → 15.6% דצמ' 27</t>
        </is>
      </c>
      <c r="D32" s="41" t="inlineStr">
        <is>
          <t>אימוץ ויראלי — תוכן Ma Kashur פורץ דרך; הפצה חזקה של מעיין</t>
        </is>
      </c>
    </row>
    <row r="34">
      <c r="A34" s="3" t="inlineStr">
        <is>
          <t>E. עקומת צמיחה חודשית — בסיס  (נתח שוק % — תרחיש בסיס; שמרני = ×0.70, אופטימי = ×1.30)</t>
        </is>
      </c>
    </row>
    <row r="35">
      <c r="A35" s="4" t="inlineStr">
        <is>
          <t>חודש</t>
        </is>
      </c>
      <c r="B35" s="5" t="inlineStr">
        <is>
          <t>נתח בסיס %</t>
        </is>
      </c>
      <c r="C35" s="5" t="inlineStr"/>
      <c r="D35" s="5" t="inlineStr">
        <is>
          <t>הערות</t>
        </is>
      </c>
    </row>
    <row r="36">
      <c r="A36" s="42" t="inlineStr">
        <is>
          <t>Jul 2026</t>
        </is>
      </c>
      <c r="B36" s="43" t="n">
        <v>0.05</v>
      </c>
      <c r="D36" s="36" t="inlineStr">
        <is>
          <t>השקה — קמפיין Ma Kashur + בליץ מדיה (שלב 2)</t>
        </is>
      </c>
    </row>
    <row r="37">
      <c r="A37" s="42" t="inlineStr">
        <is>
          <t>Aug 2026</t>
        </is>
      </c>
      <c r="B37" s="43" t="n">
        <v>0.065</v>
      </c>
      <c r="D37" s="36" t="inlineStr">
        <is>
          <t>תנופה לאחר השקה — דחיפה במדיה ורשתות חברתיות</t>
        </is>
      </c>
    </row>
    <row r="38">
      <c r="A38" s="42" t="inlineStr">
        <is>
          <t>Sep 2026</t>
        </is>
      </c>
      <c r="B38" s="43" t="n">
        <v>0.08</v>
      </c>
      <c r="D38" s="36" t="inlineStr">
        <is>
          <t>חדירת שוק — רשתות קמעונאיות + קיוסקים + תחנות דלק</t>
        </is>
      </c>
    </row>
    <row r="39">
      <c r="A39" s="42" t="inlineStr">
        <is>
          <t>Oct 2026</t>
        </is>
      </c>
      <c r="B39" s="43" t="n">
        <v>0.09</v>
      </c>
      <c r="D39" s="36" t="inlineStr">
        <is>
          <t>הרחבת הפצה ברחבי השוק הפרטי</t>
        </is>
      </c>
    </row>
    <row r="40">
      <c r="A40" s="42" t="inlineStr">
        <is>
          <t>Nov 2026</t>
        </is>
      </c>
      <c r="B40" s="43" t="n">
        <v>0.095</v>
      </c>
      <c r="D40" s="36" t="inlineStr">
        <is>
          <t>קרוב ליעד — בניית מודעות למותג</t>
        </is>
      </c>
    </row>
    <row r="41">
      <c r="A41" s="44" t="inlineStr">
        <is>
          <t>Dec 2026</t>
        </is>
      </c>
      <c r="B41" s="45" t="n">
        <v>0.1</v>
      </c>
      <c r="D41" s="46" t="inlineStr">
        <is>
          <t>יעד — הושג נתח שוק 10%</t>
        </is>
      </c>
    </row>
    <row r="42">
      <c r="A42" s="47" t="inlineStr">
        <is>
          <t>Jan 2027</t>
        </is>
      </c>
      <c r="B42" s="45" t="n">
        <v>0.1</v>
      </c>
      <c r="D42" s="9" t="inlineStr">
        <is>
          <t>שלב 3: תחילת בניית קהילה</t>
        </is>
      </c>
    </row>
    <row r="43">
      <c r="A43" s="48" t="inlineStr">
        <is>
          <t>Feb 2027</t>
        </is>
      </c>
      <c r="B43" s="45" t="n">
        <v>0.1</v>
      </c>
      <c r="D43" s="13" t="inlineStr">
        <is>
          <t>פלטפורמה דיגיטלית "פרלמנט הקפה"</t>
        </is>
      </c>
    </row>
    <row r="44">
      <c r="A44" s="47" t="inlineStr">
        <is>
          <t>Mar 2027</t>
        </is>
      </c>
      <c r="B44" s="45" t="n">
        <v>0.105</v>
      </c>
      <c r="D44" s="9" t="inlineStr">
        <is>
          <t>צמיחה עם נאמנות למותג</t>
        </is>
      </c>
    </row>
    <row r="45">
      <c r="A45" s="48" t="inlineStr">
        <is>
          <t>Apr 2027</t>
        </is>
      </c>
      <c r="B45" s="45" t="n">
        <v>0.105</v>
      </c>
      <c r="D45" s="13" t="inlineStr"/>
    </row>
    <row r="46">
      <c r="A46" s="47" t="inlineStr">
        <is>
          <t>May 2027</t>
        </is>
      </c>
      <c r="B46" s="45" t="n">
        <v>0.11</v>
      </c>
      <c r="D46" s="9" t="inlineStr">
        <is>
          <t>מהדורות מוגבלות חדשות מניעות נסיון</t>
        </is>
      </c>
    </row>
    <row r="47">
      <c r="A47" s="48" t="inlineStr">
        <is>
          <t>Jun 2027</t>
        </is>
      </c>
      <c r="B47" s="45" t="n">
        <v>0.11</v>
      </c>
      <c r="D47" s="13" t="inlineStr"/>
    </row>
    <row r="48">
      <c r="A48" s="47" t="inlineStr">
        <is>
          <t>Jul 2027</t>
        </is>
      </c>
      <c r="B48" s="45" t="n">
        <v>0.11</v>
      </c>
      <c r="D48" s="9" t="inlineStr">
        <is>
          <t>קמפיין יום הולדת + מהדורות עונתיות</t>
        </is>
      </c>
    </row>
    <row r="49">
      <c r="A49" s="48" t="inlineStr">
        <is>
          <t>Aug 2027</t>
        </is>
      </c>
      <c r="B49" s="45" t="n">
        <v>0.115</v>
      </c>
      <c r="D49" s="13" t="inlineStr"/>
    </row>
    <row r="50">
      <c r="A50" s="47" t="inlineStr">
        <is>
          <t>Sep 2027</t>
        </is>
      </c>
      <c r="B50" s="45" t="n">
        <v>0.115</v>
      </c>
      <c r="D50" s="9" t="inlineStr"/>
    </row>
    <row r="51">
      <c r="A51" s="48" t="inlineStr">
        <is>
          <t>Oct 2027</t>
        </is>
      </c>
      <c r="B51" s="45" t="n">
        <v>0.12</v>
      </c>
      <c r="D51" s="13" t="inlineStr">
        <is>
          <t>התרחבות לערוצים חדשים</t>
        </is>
      </c>
    </row>
    <row r="52">
      <c r="A52" s="47" t="inlineStr">
        <is>
          <t>Nov 2027</t>
        </is>
      </c>
      <c r="B52" s="45" t="n">
        <v>0.12</v>
      </c>
      <c r="D52" s="9" t="inlineStr"/>
    </row>
    <row r="53">
      <c r="A53" s="48" t="inlineStr">
        <is>
          <t>Dec 2027</t>
        </is>
      </c>
      <c r="B53" s="45" t="n">
        <v>0.12</v>
      </c>
      <c r="D53" s="13" t="inlineStr">
        <is>
          <t>סוף שנה — 12% נתח שוק (תרחיש בסיס)</t>
        </is>
      </c>
    </row>
  </sheetData>
  <mergeCells count="7">
    <mergeCell ref="A1:D1"/>
    <mergeCell ref="A9:D9"/>
    <mergeCell ref="A34:D34"/>
    <mergeCell ref="A4:D4"/>
    <mergeCell ref="A19:D19"/>
    <mergeCell ref="A2:D2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8A04A"/>
    <outlinePr summaryBelow="1" summaryRight="1"/>
    <pageSetUpPr/>
  </sheetPr>
  <dimension ref="A1:J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52" customWidth="1" min="4" max="4"/>
  </cols>
  <sheetData>
    <row r="1" ht="28" customHeight="1">
      <c r="A1" s="1" t="inlineStr">
        <is>
          <t>AHLAN קפה 150 גרם — כלכלת יחידה והמלצת מחיר B2B</t>
        </is>
      </c>
    </row>
    <row r="2">
      <c r="A2" s="2" t="inlineStr">
        <is>
          <t>מחיר B2B ₪10.50 הוא המלצת Claude להשקה  |  כל הנוסחאות מתייחסות להנחות — שנה קלטים שם לחישוב מחדש  |  הכנסות Raito = חשבונית B2B; מעיין היא סוכן/מפיץ</t>
        </is>
      </c>
    </row>
    <row r="4">
      <c r="A4" s="3" t="inlineStr">
        <is>
          <t>A. שרשרת תמחור בעלות B2B מומלצת של ₪10.50  (קמעונאות מאורגנת מול שוק פרטי)</t>
        </is>
      </c>
    </row>
    <row r="5" ht="28" customHeight="1">
      <c r="A5" s="4" t="inlineStr">
        <is>
          <t>סעיף</t>
        </is>
      </c>
      <c r="B5" s="49" t="inlineStr">
        <is>
          <t>קמעונאות מאורגנת</t>
        </is>
      </c>
      <c r="C5" s="49" t="inlineStr">
        <is>
          <t>שוק פרטי</t>
        </is>
      </c>
      <c r="D5" s="4" t="inlineStr">
        <is>
          <t>נוסחה / הערות</t>
        </is>
      </c>
    </row>
    <row r="6">
      <c r="A6" s="20" t="inlineStr">
        <is>
          <t>מחיר B2B  — חשבונית Raito לשוק</t>
        </is>
      </c>
      <c r="B6" s="50">
        <f>הנחות!$B$15</f>
        <v/>
      </c>
      <c r="C6" s="50">
        <f>הנחות!$B$15</f>
        <v/>
      </c>
      <c r="D6" s="51" t="inlineStr">
        <is>
          <t>מומלץ: ₪10.50  |  קלט בהנחות B15  |  אותו B2B ללא תלות בערוץ</t>
        </is>
      </c>
    </row>
    <row r="7">
      <c r="A7" s="10" t="inlineStr">
        <is>
          <t>מחיר מדף B2C משתמע  (כולל 18% מע״מ)</t>
        </is>
      </c>
      <c r="B7" s="52">
        <f>הנחות!$B$15/(1-הנחות!$B$12)*(1+הנחות!$B$11)</f>
        <v/>
      </c>
      <c r="C7" s="52">
        <f>הנחות!$B$15/(1-הנחות!$B$13)*(1+הנחות!$B$11)</f>
        <v/>
      </c>
      <c r="D7" s="53" t="inlineStr">
        <is>
          <t>B2C = B2B / (1−ret%) × (1+VAT)  |  מאורגן: ₪17.70  |  פרטי: ₪15.47</t>
        </is>
      </c>
    </row>
    <row r="8">
      <c r="A8" s="6" t="inlineStr">
        <is>
          <t>÷ (1 + מע״מ)  — מחיר מדף ללא מע״מ</t>
        </is>
      </c>
      <c r="B8" s="24">
        <f>B7/(1+הנחות!$B$11)</f>
        <v/>
      </c>
      <c r="C8" s="24">
        <f>C7/(1+הנחות!$B$11)</f>
        <v/>
      </c>
      <c r="D8" s="54" t="inlineStr">
        <is>
          <t>הסר מע״מ לחישוב</t>
        </is>
      </c>
    </row>
    <row r="9">
      <c r="A9" s="10" t="inlineStr">
        <is>
          <t>× (1 − מרווח קמעונאי)  — B2B מאושר</t>
        </is>
      </c>
      <c r="B9" s="11">
        <f>B8*(1-הנחות!$B$12)</f>
        <v/>
      </c>
      <c r="C9" s="11">
        <f>C8*(1-הנחות!$B$13)</f>
        <v/>
      </c>
      <c r="D9" s="53" t="inlineStr">
        <is>
          <t>הנחת קמעונאי: 30% מאורגן / 20% שוק פרטי</t>
        </is>
      </c>
    </row>
    <row r="10">
      <c r="A10" s="20" t="inlineStr">
        <is>
          <t>► מחיר B2B  (בדיקה צולבת — צריך להשתוות לשורה למעלה)</t>
        </is>
      </c>
      <c r="B10" s="50">
        <f>הנחות!$B$15</f>
        <v/>
      </c>
      <c r="C10" s="50">
        <f>הנחות!$B$15</f>
        <v/>
      </c>
      <c r="D10" s="51" t="inlineStr">
        <is>
          <t>בדיקה צולבת: שני הערוצים מניבים אותו מחיר B2B</t>
        </is>
      </c>
    </row>
    <row r="11">
      <c r="A11" s="10" t="inlineStr">
        <is>
          <t>– עמלת מעיין  (18% בסיס)</t>
        </is>
      </c>
      <c r="B11" s="55">
        <f>הנחות!$B$15*הנחות!$B$14</f>
        <v/>
      </c>
      <c r="C11" s="55">
        <f>הנחות!$B$15*הנחות!$B$14</f>
        <v/>
      </c>
      <c r="D11" s="53" t="inlineStr">
        <is>
          <t>טווח 15–25%  |  בסיס 18%  |  קלט: הנחות!$B$14  ⚠ אשר עם מעיין</t>
        </is>
      </c>
    </row>
    <row r="12">
      <c r="A12" s="56" t="inlineStr">
        <is>
          <t>► הכנסות נטו ל-Raito  (לאחר מעיין)</t>
        </is>
      </c>
      <c r="B12" s="57">
        <f>הנחות!$B$15*(1-הנחות!$B$14)</f>
        <v/>
      </c>
      <c r="C12" s="57">
        <f>הנחות!$B$15*(1-הנחות!$B$14)</f>
        <v/>
      </c>
      <c r="D12" s="58" t="inlineStr">
        <is>
          <t>אותו דבר בשני הערוצים  |  ₪8.61 ב-B2B ₪10.50 / 18% עמלה</t>
        </is>
      </c>
    </row>
    <row r="13">
      <c r="A13" s="10" t="inlineStr">
        <is>
          <t>– עלות ייצור 150 גרם  (₪5.55 מאושר)</t>
        </is>
      </c>
      <c r="B13" s="52">
        <f>הנחות!$B$7</f>
        <v/>
      </c>
      <c r="C13" s="52">
        <f>הנחות!$B$7</f>
        <v/>
      </c>
      <c r="D13" s="53" t="inlineStr">
        <is>
          <t>Rajuan אישר ₪3.70/100 גרם × 1.5 = ₪5.55  |  קלט: הנחות!$B$7</t>
        </is>
      </c>
    </row>
    <row r="14">
      <c r="A14" s="56" t="inlineStr">
        <is>
          <t>► רווח גולמי ליחידה</t>
        </is>
      </c>
      <c r="B14" s="57">
        <f>הנחות!$B$15*(1-הנחות!$B$14)-הנחות!$B$7</f>
        <v/>
      </c>
      <c r="C14" s="57">
        <f>הנחות!$B$15*(1-הנחות!$B$14)-הנחות!$B$7</f>
        <v/>
      </c>
      <c r="D14" s="58" t="inlineStr">
        <is>
          <t>הכנסות נטו פחות עלות ייצור</t>
        </is>
      </c>
    </row>
    <row r="15">
      <c r="A15" s="56" t="inlineStr">
        <is>
          <t>שיעור רווח גולמי %  (GP ÷ מחיר B2B)</t>
        </is>
      </c>
      <c r="B15" s="59">
        <f>IFERROR((הנחות!$B$15*(1-הנחות!$B$14)-הנחות!$B$7)/הנחות!$B$15,0)</f>
        <v/>
      </c>
      <c r="C15" s="59">
        <f>IFERROR((הנחות!$B$15*(1-הנחות!$B$14)-הנחות!$B$7)/הנחות!$B$15,0)</f>
        <v/>
      </c>
      <c r="D15" s="58" t="inlineStr">
        <is>
          <t>GP / מחיר B2B  |  יעד: 29%+ ב-18% עמלה</t>
        </is>
      </c>
    </row>
    <row r="17">
      <c r="A17" s="3" t="inlineStr">
        <is>
          <t>B. מדוע B2B ₪10.50 — נימוק ההמלצה</t>
        </is>
      </c>
    </row>
    <row r="18">
      <c r="A18" s="4" t="inlineStr">
        <is>
          <t>גורם</t>
        </is>
      </c>
      <c r="B18" s="5" t="inlineStr">
        <is>
          <t>נתון</t>
        </is>
      </c>
      <c r="C18" s="4" t="inlineStr">
        <is>
          <t>משמעות</t>
        </is>
      </c>
    </row>
    <row r="19" ht="30" customHeight="1">
      <c r="A19" s="60" t="inlineStr">
        <is>
          <t>אמת מידה תחרותית</t>
        </is>
      </c>
      <c r="B19" s="61" t="inlineStr">
        <is>
          <t>Elite 150g ממוצע B2C ₪13.14 (נתוני CHP, 8 רשתות בלבד) — כמעט לא זמין</t>
        </is>
      </c>
      <c r="C19" s="62" t="inlineStr">
        <is>
          <t>CHP מאשר: רק 8/94 רשתות מוכרות 150 גרם → רווח לבן עשיר. AHLAN ב-₪15.47 B2C מתחרה אפילו עם תמחור מאורגן</t>
        </is>
      </c>
    </row>
    <row r="20" ht="30" customHeight="1">
      <c r="A20" s="63" t="inlineStr">
        <is>
          <t>כדאיות רווח גולמי</t>
        </is>
      </c>
      <c r="B20" s="64" t="inlineStr">
        <is>
          <t>ב-B2B ₪10.50 / 18% עמלה: GP = ₪3.06 / יחידה  (35.5% GM)</t>
        </is>
      </c>
      <c r="C20" s="65" t="inlineStr">
        <is>
          <t>מרווח מינימלי כדאי לברנד מעורר — מספיק לשקעון מחדש בהפצה</t>
        </is>
      </c>
    </row>
    <row r="21" ht="30" customHeight="1">
      <c r="A21" s="60" t="inlineStr">
        <is>
          <t>מבנה עלויות</t>
        </is>
      </c>
      <c r="B21" s="61" t="inlineStr">
        <is>
          <t>ייצור ₪5.55 / יחידה  (₪3.70/100g × 1.5 — מאושר ע״י Rajuan)</t>
        </is>
      </c>
      <c r="C21" s="62" t="inlineStr">
        <is>
          <t>בסיס עלות נמוך יוצר גמישות תמחור אם B2B צריך להתאים למטה</t>
        </is>
      </c>
    </row>
    <row r="22" ht="30" customHeight="1">
      <c r="A22" s="63" t="inlineStr">
        <is>
          <t>מסלול ל-₪11.50+</t>
        </is>
      </c>
      <c r="B22" s="64" t="inlineStr">
        <is>
          <t>לאחר השגת 10% נתח שוק, העלאת B2B ל-₪11.50 → 41% GM</t>
        </is>
      </c>
      <c r="C22" s="65" t="inlineStr">
        <is>
          <t>השקה בעדיפות נפח ב-₪10.50, ואז שיפור רווח לאחר נעילת הפצה</t>
        </is>
      </c>
    </row>
    <row r="23" ht="30" customHeight="1">
      <c r="A23" s="60" t="inlineStr">
        <is>
          <t>מיצוב מול Elite</t>
        </is>
      </c>
      <c r="B23" s="61" t="inlineStr">
        <is>
          <t>CHP: Elite 150 גרם ממוצע ₪13.14 (8 רשתות)  |  200 גרם ממוצע ₪19.25 (72 רשתות)  |  100 גרם ממוצע ₪11.53 (66 רשתות)</t>
        </is>
      </c>
      <c r="C23" s="62" t="inlineStr">
        <is>
          <t>AHLAN 150 גרם ב-₪15.47 = פרמיום ל-Elite 150 גרם דל אך מתחת ל-200 גרם — נקודת הכושר של השוק הפרטי</t>
        </is>
      </c>
    </row>
    <row r="25">
      <c r="A25" s="3" t="inlineStr">
        <is>
          <t>C. רגישות עמלת הפצה  (ב-B2B ₪10.50)</t>
        </is>
      </c>
    </row>
    <row r="26">
      <c r="A26" s="5" t="inlineStr">
        <is>
          <t>עמלת מעיין</t>
        </is>
      </c>
      <c r="B26" s="5" t="inlineStr">
        <is>
          <t>נטו ל-Raito</t>
        </is>
      </c>
      <c r="C26" s="5" t="inlineStr">
        <is>
          <t>רווח גולמי/יחידה</t>
        </is>
      </c>
      <c r="D26" s="5" t="inlineStr">
        <is>
          <t>שיעור רווח גולמי %</t>
        </is>
      </c>
      <c r="E26" s="4" t="inlineStr">
        <is>
          <t>הערה</t>
        </is>
      </c>
    </row>
    <row r="27">
      <c r="A27" s="66" t="n">
        <v>0.15</v>
      </c>
      <c r="B27" s="67">
        <f>הנחות!$B$15*(1-0.15)</f>
        <v/>
      </c>
      <c r="C27" s="67">
        <f>הנחות!$B$15*(1-0.15)-הנחות!$B$7</f>
        <v/>
      </c>
      <c r="D27" s="68">
        <f>IFERROR((הנחות!$B$15*(1-0.15)-הנחות!$B$7)/הנחות!$B$15,0)</f>
        <v/>
      </c>
      <c r="E27" s="10" t="inlineStr">
        <is>
          <t>נמוך — לטובתנו</t>
        </is>
      </c>
    </row>
    <row r="28">
      <c r="A28" s="69" t="n">
        <v>0.18</v>
      </c>
      <c r="B28" s="70">
        <f>הנחות!$B$15*(1-0.18)</f>
        <v/>
      </c>
      <c r="C28" s="70">
        <f>הנחות!$B$15*(1-0.18)-הנחות!$B$7</f>
        <v/>
      </c>
      <c r="D28" s="71">
        <f>IFERROR((הנחות!$B$15*(1-0.18)-הנחות!$B$7)/הנחות!$B$15,0)</f>
        <v/>
      </c>
      <c r="E28" s="72" t="inlineStr">
        <is>
          <t>תרחיש בסיס ✓</t>
        </is>
      </c>
    </row>
    <row r="29">
      <c r="A29" s="73" t="n">
        <v>0.2</v>
      </c>
      <c r="B29" s="74">
        <f>הנחות!$B$15*(1-0.2)</f>
        <v/>
      </c>
      <c r="C29" s="74">
        <f>הנחות!$B$15*(1-0.2)-הנחות!$B$7</f>
        <v/>
      </c>
      <c r="D29" s="75">
        <f>IFERROR((הנחות!$B$15*(1-0.2)-הנחות!$B$7)/הנחות!$B$15,0)</f>
        <v/>
      </c>
      <c r="E29" s="6" t="inlineStr">
        <is>
          <t>גבוה — לנהל מו״מ להורדה</t>
        </is>
      </c>
    </row>
    <row r="30">
      <c r="A30" s="73" t="n">
        <v>0.22</v>
      </c>
      <c r="B30" s="74">
        <f>הנחות!$B$15*(1-0.22)</f>
        <v/>
      </c>
      <c r="C30" s="74">
        <f>הנחות!$B$15*(1-0.22)-הנחות!$B$7</f>
        <v/>
      </c>
      <c r="D30" s="75">
        <f>IFERROR((הנחות!$B$15*(1-0.22)-הנחות!$B$7)/הנחות!$B$15,0)</f>
        <v/>
      </c>
      <c r="E30" s="6" t="inlineStr">
        <is>
          <t>גבוה — לנהל מו״מ להורדה</t>
        </is>
      </c>
    </row>
    <row r="31">
      <c r="A31" s="66" t="n">
        <v>0.25</v>
      </c>
      <c r="B31" s="67">
        <f>הנחות!$B$15*(1-0.25)</f>
        <v/>
      </c>
      <c r="C31" s="67">
        <f>הנחות!$B$15*(1-0.25)-הנחות!$B$7</f>
        <v/>
      </c>
      <c r="D31" s="68">
        <f>IFERROR((הנחות!$B$15*(1-0.25)-הנחות!$B$7)/הנחות!$B$15,0)</f>
        <v/>
      </c>
      <c r="E31" s="10" t="inlineStr">
        <is>
          <t>גבוה — לנהל מו״מ להורדה</t>
        </is>
      </c>
    </row>
  </sheetData>
  <mergeCells count="28">
    <mergeCell ref="E28:J28"/>
    <mergeCell ref="D9:J9"/>
    <mergeCell ref="A17:J17"/>
    <mergeCell ref="D12:J12"/>
    <mergeCell ref="D8:J8"/>
    <mergeCell ref="E31:J31"/>
    <mergeCell ref="A4:J4"/>
    <mergeCell ref="D15:J15"/>
    <mergeCell ref="E30:J30"/>
    <mergeCell ref="D5:J5"/>
    <mergeCell ref="D14:J14"/>
    <mergeCell ref="C20:J20"/>
    <mergeCell ref="E27:J27"/>
    <mergeCell ref="D10:J10"/>
    <mergeCell ref="C22:J22"/>
    <mergeCell ref="E26:J26"/>
    <mergeCell ref="A1:J1"/>
    <mergeCell ref="C21:J21"/>
    <mergeCell ref="D6:J6"/>
    <mergeCell ref="D13:J13"/>
    <mergeCell ref="D11:J11"/>
    <mergeCell ref="C23:J23"/>
    <mergeCell ref="A25:J25"/>
    <mergeCell ref="D7:J7"/>
    <mergeCell ref="C19:J19"/>
    <mergeCell ref="A2:J2"/>
    <mergeCell ref="E29:J29"/>
    <mergeCell ref="C18:J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L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4" customWidth="1" min="3" max="3"/>
    <col width="11" customWidth="1" min="4" max="4"/>
    <col width="14" customWidth="1" min="5" max="5"/>
    <col width="12" customWidth="1" min="6" max="6"/>
    <col width="14" customWidth="1" min="7" max="7"/>
    <col width="12" customWidth="1" min="8" max="8"/>
    <col width="12" customWidth="1" min="9" max="9"/>
    <col width="8" customWidth="1" min="10" max="10"/>
    <col width="12" customWidth="1" min="11" max="11"/>
    <col width="14" customWidth="1" min="12" max="12"/>
  </cols>
  <sheetData>
    <row r="1" ht="28" customHeight="1">
      <c r="A1" s="1" t="inlineStr">
        <is>
          <t>AHLAN קפה 150 גרם — תחזית מכירות  (גישה מלמעלה: שוק × נתח% → הכנסות → יחידות)</t>
        </is>
      </c>
    </row>
    <row r="2">
      <c r="A2" s="2" t="inlineStr">
        <is>
          <t>שוק: ₪350M סה״כ קפה שחור (B2C, כל הערוצים)  |  B2B: ₪10.50  |  מעיין: 18%  |  שותפים מייסדים של Ma Kashur → השקה חזקה + צמיחה בשנת 2027  |  תרחישים: ×0.70 / ×1.00 / ×1.30 על עקומת בסיס</t>
        </is>
      </c>
    </row>
    <row r="4" ht="20" customHeight="1">
      <c r="A4" s="76" t="inlineStr">
        <is>
          <t>תרחיש 1: שמרני  —  7% נתח דצמ' 2026 → ~8.4% דצמ' 2027  |  שיווק מתחת לציפיות</t>
        </is>
      </c>
    </row>
    <row r="5">
      <c r="A5" s="77" t="inlineStr">
        <is>
          <t>מחיר B2B: ₪10.50  |  מקדם: הנחות!$B$30 × עקומת בסיס  |  שוק: הנחות!$B$21  |  עמלת מעיין: הנחות!$B$14</t>
        </is>
      </c>
    </row>
    <row r="6" ht="30" customHeight="1">
      <c r="A6" s="78" t="inlineStr">
        <is>
          <t>חודש</t>
        </is>
      </c>
      <c r="B6" s="78" t="inlineStr">
        <is>
          <t>נתח
שוק %</t>
        </is>
      </c>
      <c r="C6" s="78" t="inlineStr">
        <is>
          <t>הכנסות B2C
חודשיות (₪)</t>
        </is>
      </c>
      <c r="D6" s="78" t="inlineStr">
        <is>
          <t>יחידות
שנמכרו</t>
        </is>
      </c>
      <c r="E6" s="78" t="inlineStr">
        <is>
          <t>הכנסות B2B
(₪)</t>
        </is>
      </c>
      <c r="F6" s="78" t="inlineStr">
        <is>
          <t>עמלת
מעיין (₪)</t>
        </is>
      </c>
      <c r="G6" s="78" t="inlineStr">
        <is>
          <t>הכנסות נטו
ל-Raito (₪)</t>
        </is>
      </c>
      <c r="H6" s="78" t="inlineStr">
        <is>
          <t>עלות המכר
(₪)</t>
        </is>
      </c>
      <c r="I6" s="78" t="inlineStr">
        <is>
          <t>רווח
גולמי (₪)</t>
        </is>
      </c>
      <c r="J6" s="78" t="inlineStr">
        <is>
          <t>רווח גולמי %
(GP/B2B)</t>
        </is>
      </c>
      <c r="K6" s="78" t="inlineStr">
        <is>
          <t>מצטבר
יחידות</t>
        </is>
      </c>
      <c r="L6" s="78" t="inlineStr">
        <is>
          <t>מצטבר
הכנסות נטו (₪)</t>
        </is>
      </c>
    </row>
    <row r="7">
      <c r="A7" s="42" t="inlineStr">
        <is>
          <t>Jul 2026</t>
        </is>
      </c>
      <c r="B7" s="79">
        <f>הנחות!$B$36*הנחות!$B$30</f>
        <v/>
      </c>
      <c r="C7" s="80">
        <f>(הנחות!$B$21/12)*B7</f>
        <v/>
      </c>
      <c r="D7" s="81">
        <f>ROUND(C7*(1-הנחות!$B$13)/(הנחות!$B$15*(1+הנחות!$B$11)),0)</f>
        <v/>
      </c>
      <c r="E7" s="80">
        <f>D7*הנחות!$B$15</f>
        <v/>
      </c>
      <c r="F7" s="80">
        <f>E7*הנחות!$B$14</f>
        <v/>
      </c>
      <c r="G7" s="80">
        <f>E7*(1-הנחות!$B$14)</f>
        <v/>
      </c>
      <c r="H7" s="80">
        <f>D7*הנחות!$B$7</f>
        <v/>
      </c>
      <c r="I7" s="80">
        <f>G7-H7</f>
        <v/>
      </c>
      <c r="J7" s="79">
        <f>IFERROR(I7/E7,0)</f>
        <v/>
      </c>
      <c r="K7" s="81">
        <f>D7</f>
        <v/>
      </c>
      <c r="L7" s="80">
        <f>G7</f>
        <v/>
      </c>
    </row>
    <row r="8">
      <c r="A8" s="42" t="inlineStr">
        <is>
          <t>Aug 2026</t>
        </is>
      </c>
      <c r="B8" s="82">
        <f>הנחות!$B$37*הנחות!$B$30</f>
        <v/>
      </c>
      <c r="C8" s="80">
        <f>(הנחות!$B$21/12)*B8</f>
        <v/>
      </c>
      <c r="D8" s="81">
        <f>ROUND(C8*(1-הנחות!$B$13)/(הנחות!$B$15*(1+הנחות!$B$11)),0)</f>
        <v/>
      </c>
      <c r="E8" s="80">
        <f>D8*הנחות!$B$15</f>
        <v/>
      </c>
      <c r="F8" s="80">
        <f>E8*הנחות!$B$14</f>
        <v/>
      </c>
      <c r="G8" s="80">
        <f>E8*(1-הנחות!$B$14)</f>
        <v/>
      </c>
      <c r="H8" s="80">
        <f>D8*הנחות!$B$7</f>
        <v/>
      </c>
      <c r="I8" s="80">
        <f>G8-H8</f>
        <v/>
      </c>
      <c r="J8" s="79">
        <f>IFERROR(I8/E8,0)</f>
        <v/>
      </c>
      <c r="K8" s="81">
        <f>K7+D8</f>
        <v/>
      </c>
      <c r="L8" s="80">
        <f>L7+G8</f>
        <v/>
      </c>
    </row>
    <row r="9">
      <c r="A9" s="42" t="inlineStr">
        <is>
          <t>Sep 2026</t>
        </is>
      </c>
      <c r="B9" s="82">
        <f>הנחות!$B$38*הנחות!$B$30</f>
        <v/>
      </c>
      <c r="C9" s="80">
        <f>(הנחות!$B$21/12)*B9</f>
        <v/>
      </c>
      <c r="D9" s="81">
        <f>ROUND(C9*(1-הנחות!$B$13)/(הנחות!$B$15*(1+הנחות!$B$11)),0)</f>
        <v/>
      </c>
      <c r="E9" s="80">
        <f>D9*הנחות!$B$15</f>
        <v/>
      </c>
      <c r="F9" s="80">
        <f>E9*הנחות!$B$14</f>
        <v/>
      </c>
      <c r="G9" s="80">
        <f>E9*(1-הנחות!$B$14)</f>
        <v/>
      </c>
      <c r="H9" s="80">
        <f>D9*הנחות!$B$7</f>
        <v/>
      </c>
      <c r="I9" s="80">
        <f>G9-H9</f>
        <v/>
      </c>
      <c r="J9" s="79">
        <f>IFERROR(I9/E9,0)</f>
        <v/>
      </c>
      <c r="K9" s="81">
        <f>K8+D9</f>
        <v/>
      </c>
      <c r="L9" s="80">
        <f>L8+G9</f>
        <v/>
      </c>
    </row>
    <row r="10">
      <c r="A10" s="42" t="inlineStr">
        <is>
          <t>Oct 2026</t>
        </is>
      </c>
      <c r="B10" s="82">
        <f>הנחות!$B$39*הנחות!$B$30</f>
        <v/>
      </c>
      <c r="C10" s="80">
        <f>(הנחות!$B$21/12)*B10</f>
        <v/>
      </c>
      <c r="D10" s="81">
        <f>ROUND(C10*(1-הנחות!$B$13)/(הנחות!$B$15*(1+הנחות!$B$11)),0)</f>
        <v/>
      </c>
      <c r="E10" s="80">
        <f>D10*הנחות!$B$15</f>
        <v/>
      </c>
      <c r="F10" s="80">
        <f>E10*הנחות!$B$14</f>
        <v/>
      </c>
      <c r="G10" s="80">
        <f>E10*(1-הנחות!$B$14)</f>
        <v/>
      </c>
      <c r="H10" s="80">
        <f>D10*הנחות!$B$7</f>
        <v/>
      </c>
      <c r="I10" s="80">
        <f>G10-H10</f>
        <v/>
      </c>
      <c r="J10" s="79">
        <f>IFERROR(I10/E10,0)</f>
        <v/>
      </c>
      <c r="K10" s="81">
        <f>K9+D10</f>
        <v/>
      </c>
      <c r="L10" s="80">
        <f>L9+G10</f>
        <v/>
      </c>
    </row>
    <row r="11">
      <c r="A11" s="42" t="inlineStr">
        <is>
          <t>Nov 2026</t>
        </is>
      </c>
      <c r="B11" s="82">
        <f>הנחות!$B$40*הנחות!$B$30</f>
        <v/>
      </c>
      <c r="C11" s="80">
        <f>(הנחות!$B$21/12)*B11</f>
        <v/>
      </c>
      <c r="D11" s="81">
        <f>ROUND(C11*(1-הנחות!$B$13)/(הנחות!$B$15*(1+הנחות!$B$11)),0)</f>
        <v/>
      </c>
      <c r="E11" s="80">
        <f>D11*הנחות!$B$15</f>
        <v/>
      </c>
      <c r="F11" s="80">
        <f>E11*הנחות!$B$14</f>
        <v/>
      </c>
      <c r="G11" s="80">
        <f>E11*(1-הנחות!$B$14)</f>
        <v/>
      </c>
      <c r="H11" s="80">
        <f>D11*הנחות!$B$7</f>
        <v/>
      </c>
      <c r="I11" s="80">
        <f>G11-H11</f>
        <v/>
      </c>
      <c r="J11" s="79">
        <f>IFERROR(I11/E11,0)</f>
        <v/>
      </c>
      <c r="K11" s="81">
        <f>K10+D11</f>
        <v/>
      </c>
      <c r="L11" s="80">
        <f>L10+G11</f>
        <v/>
      </c>
    </row>
    <row r="12">
      <c r="A12" s="44" t="inlineStr">
        <is>
          <t>Dec 2026</t>
        </is>
      </c>
      <c r="B12" s="83">
        <f>הנחות!$B$41*הנחות!$B$30</f>
        <v/>
      </c>
      <c r="C12" s="84">
        <f>(הנחות!$B$21/12)*B12</f>
        <v/>
      </c>
      <c r="D12" s="85">
        <f>ROUND(C12*(1-הנחות!$B$13)/(הנחות!$B$15*(1+הנחות!$B$11)),0)</f>
        <v/>
      </c>
      <c r="E12" s="84">
        <f>D12*הנחות!$B$15</f>
        <v/>
      </c>
      <c r="F12" s="84">
        <f>E12*הנחות!$B$14</f>
        <v/>
      </c>
      <c r="G12" s="84">
        <f>E12*(1-הנחות!$B$14)</f>
        <v/>
      </c>
      <c r="H12" s="84">
        <f>D12*הנחות!$B$7</f>
        <v/>
      </c>
      <c r="I12" s="84">
        <f>G12-H12</f>
        <v/>
      </c>
      <c r="J12" s="86">
        <f>IFERROR(I12/E12,0)</f>
        <v/>
      </c>
      <c r="K12" s="85">
        <f>K11+D12</f>
        <v/>
      </c>
      <c r="L12" s="84">
        <f>L11+G12</f>
        <v/>
      </c>
    </row>
    <row r="13">
      <c r="A13" s="47" t="inlineStr">
        <is>
          <t>Jan 2027</t>
        </is>
      </c>
      <c r="B13" s="87">
        <f>הנחות!$B$42*הנחות!$B$30</f>
        <v/>
      </c>
      <c r="C13" s="88">
        <f>(הנחות!$B$21/12)*B13</f>
        <v/>
      </c>
      <c r="D13" s="89">
        <f>ROUND(C13*(1-הנחות!$B$13)/(הנחות!$B$15*(1+הנחות!$B$11)),0)</f>
        <v/>
      </c>
      <c r="E13" s="88">
        <f>D13*הנחות!$B$15</f>
        <v/>
      </c>
      <c r="F13" s="88">
        <f>E13*הנחות!$B$14</f>
        <v/>
      </c>
      <c r="G13" s="88">
        <f>E13*(1-הנחות!$B$14)</f>
        <v/>
      </c>
      <c r="H13" s="88">
        <f>D13*הנחות!$B$7</f>
        <v/>
      </c>
      <c r="I13" s="88">
        <f>G13-H13</f>
        <v/>
      </c>
      <c r="J13" s="90">
        <f>IFERROR(I13/E13,0)</f>
        <v/>
      </c>
      <c r="K13" s="89">
        <f>K12+D13</f>
        <v/>
      </c>
      <c r="L13" s="88">
        <f>L12+G13</f>
        <v/>
      </c>
    </row>
    <row r="14">
      <c r="A14" s="48" t="inlineStr">
        <is>
          <t>Feb 2027</t>
        </is>
      </c>
      <c r="B14" s="91">
        <f>הנחות!$B$43*הנחות!$B$30</f>
        <v/>
      </c>
      <c r="C14" s="92">
        <f>(הנחות!$B$21/12)*B14</f>
        <v/>
      </c>
      <c r="D14" s="93">
        <f>ROUND(C14*(1-הנחות!$B$13)/(הנחות!$B$15*(1+הנחות!$B$11)),0)</f>
        <v/>
      </c>
      <c r="E14" s="92">
        <f>D14*הנחות!$B$15</f>
        <v/>
      </c>
      <c r="F14" s="92">
        <f>E14*הנחות!$B$14</f>
        <v/>
      </c>
      <c r="G14" s="92">
        <f>E14*(1-הנחות!$B$14)</f>
        <v/>
      </c>
      <c r="H14" s="92">
        <f>D14*הנחות!$B$7</f>
        <v/>
      </c>
      <c r="I14" s="92">
        <f>G14-H14</f>
        <v/>
      </c>
      <c r="J14" s="94">
        <f>IFERROR(I14/E14,0)</f>
        <v/>
      </c>
      <c r="K14" s="93">
        <f>K13+D14</f>
        <v/>
      </c>
      <c r="L14" s="92">
        <f>L13+G14</f>
        <v/>
      </c>
    </row>
    <row r="15">
      <c r="A15" s="47" t="inlineStr">
        <is>
          <t>Mar 2027</t>
        </is>
      </c>
      <c r="B15" s="87">
        <f>הנחות!$B$44*הנחות!$B$30</f>
        <v/>
      </c>
      <c r="C15" s="88">
        <f>(הנחות!$B$21/12)*B15</f>
        <v/>
      </c>
      <c r="D15" s="89">
        <f>ROUND(C15*(1-הנחות!$B$13)/(הנחות!$B$15*(1+הנחות!$B$11)),0)</f>
        <v/>
      </c>
      <c r="E15" s="88">
        <f>D15*הנחות!$B$15</f>
        <v/>
      </c>
      <c r="F15" s="88">
        <f>E15*הנחות!$B$14</f>
        <v/>
      </c>
      <c r="G15" s="88">
        <f>E15*(1-הנחות!$B$14)</f>
        <v/>
      </c>
      <c r="H15" s="88">
        <f>D15*הנחות!$B$7</f>
        <v/>
      </c>
      <c r="I15" s="88">
        <f>G15-H15</f>
        <v/>
      </c>
      <c r="J15" s="90">
        <f>IFERROR(I15/E15,0)</f>
        <v/>
      </c>
      <c r="K15" s="89">
        <f>K14+D15</f>
        <v/>
      </c>
      <c r="L15" s="88">
        <f>L14+G15</f>
        <v/>
      </c>
    </row>
    <row r="16">
      <c r="A16" s="48" t="inlineStr">
        <is>
          <t>Apr 2027</t>
        </is>
      </c>
      <c r="B16" s="91">
        <f>הנחות!$B$45*הנחות!$B$30</f>
        <v/>
      </c>
      <c r="C16" s="92">
        <f>(הנחות!$B$21/12)*B16</f>
        <v/>
      </c>
      <c r="D16" s="93">
        <f>ROUND(C16*(1-הנחות!$B$13)/(הנחות!$B$15*(1+הנחות!$B$11)),0)</f>
        <v/>
      </c>
      <c r="E16" s="92">
        <f>D16*הנחות!$B$15</f>
        <v/>
      </c>
      <c r="F16" s="92">
        <f>E16*הנחות!$B$14</f>
        <v/>
      </c>
      <c r="G16" s="92">
        <f>E16*(1-הנחות!$B$14)</f>
        <v/>
      </c>
      <c r="H16" s="92">
        <f>D16*הנחות!$B$7</f>
        <v/>
      </c>
      <c r="I16" s="92">
        <f>G16-H16</f>
        <v/>
      </c>
      <c r="J16" s="94">
        <f>IFERROR(I16/E16,0)</f>
        <v/>
      </c>
      <c r="K16" s="93">
        <f>K15+D16</f>
        <v/>
      </c>
      <c r="L16" s="92">
        <f>L15+G16</f>
        <v/>
      </c>
    </row>
    <row r="17">
      <c r="A17" s="47" t="inlineStr">
        <is>
          <t>May 2027</t>
        </is>
      </c>
      <c r="B17" s="87">
        <f>הנחות!$B$46*הנחות!$B$30</f>
        <v/>
      </c>
      <c r="C17" s="88">
        <f>(הנחות!$B$21/12)*B17</f>
        <v/>
      </c>
      <c r="D17" s="89">
        <f>ROUND(C17*(1-הנחות!$B$13)/(הנחות!$B$15*(1+הנחות!$B$11)),0)</f>
        <v/>
      </c>
      <c r="E17" s="88">
        <f>D17*הנחות!$B$15</f>
        <v/>
      </c>
      <c r="F17" s="88">
        <f>E17*הנחות!$B$14</f>
        <v/>
      </c>
      <c r="G17" s="88">
        <f>E17*(1-הנחות!$B$14)</f>
        <v/>
      </c>
      <c r="H17" s="88">
        <f>D17*הנחות!$B$7</f>
        <v/>
      </c>
      <c r="I17" s="88">
        <f>G17-H17</f>
        <v/>
      </c>
      <c r="J17" s="90">
        <f>IFERROR(I17/E17,0)</f>
        <v/>
      </c>
      <c r="K17" s="89">
        <f>K16+D17</f>
        <v/>
      </c>
      <c r="L17" s="88">
        <f>L16+G17</f>
        <v/>
      </c>
    </row>
    <row r="18">
      <c r="A18" s="48" t="inlineStr">
        <is>
          <t>Jun 2027</t>
        </is>
      </c>
      <c r="B18" s="91">
        <f>הנחות!$B$47*הנחות!$B$30</f>
        <v/>
      </c>
      <c r="C18" s="92">
        <f>(הנחות!$B$21/12)*B18</f>
        <v/>
      </c>
      <c r="D18" s="93">
        <f>ROUND(C18*(1-הנחות!$B$13)/(הנחות!$B$15*(1+הנחות!$B$11)),0)</f>
        <v/>
      </c>
      <c r="E18" s="92">
        <f>D18*הנחות!$B$15</f>
        <v/>
      </c>
      <c r="F18" s="92">
        <f>E18*הנחות!$B$14</f>
        <v/>
      </c>
      <c r="G18" s="92">
        <f>E18*(1-הנחות!$B$14)</f>
        <v/>
      </c>
      <c r="H18" s="92">
        <f>D18*הנחות!$B$7</f>
        <v/>
      </c>
      <c r="I18" s="92">
        <f>G18-H18</f>
        <v/>
      </c>
      <c r="J18" s="94">
        <f>IFERROR(I18/E18,0)</f>
        <v/>
      </c>
      <c r="K18" s="93">
        <f>K17+D18</f>
        <v/>
      </c>
      <c r="L18" s="92">
        <f>L17+G18</f>
        <v/>
      </c>
    </row>
    <row r="19">
      <c r="A19" s="47" t="inlineStr">
        <is>
          <t>Jul 2027</t>
        </is>
      </c>
      <c r="B19" s="87">
        <f>הנחות!$B$48*הנחות!$B$30</f>
        <v/>
      </c>
      <c r="C19" s="88">
        <f>(הנחות!$B$21/12)*B19</f>
        <v/>
      </c>
      <c r="D19" s="89">
        <f>ROUND(C19*(1-הנחות!$B$13)/(הנחות!$B$15*(1+הנחות!$B$11)),0)</f>
        <v/>
      </c>
      <c r="E19" s="88">
        <f>D19*הנחות!$B$15</f>
        <v/>
      </c>
      <c r="F19" s="88">
        <f>E19*הנחות!$B$14</f>
        <v/>
      </c>
      <c r="G19" s="88">
        <f>E19*(1-הנחות!$B$14)</f>
        <v/>
      </c>
      <c r="H19" s="88">
        <f>D19*הנחות!$B$7</f>
        <v/>
      </c>
      <c r="I19" s="88">
        <f>G19-H19</f>
        <v/>
      </c>
      <c r="J19" s="90">
        <f>IFERROR(I19/E19,0)</f>
        <v/>
      </c>
      <c r="K19" s="89">
        <f>K18+D19</f>
        <v/>
      </c>
      <c r="L19" s="88">
        <f>L18+G19</f>
        <v/>
      </c>
    </row>
    <row r="20">
      <c r="A20" s="48" t="inlineStr">
        <is>
          <t>Aug 2027</t>
        </is>
      </c>
      <c r="B20" s="91">
        <f>הנחות!$B$49*הנחות!$B$30</f>
        <v/>
      </c>
      <c r="C20" s="92">
        <f>(הנחות!$B$21/12)*B20</f>
        <v/>
      </c>
      <c r="D20" s="93">
        <f>ROUND(C20*(1-הנחות!$B$13)/(הנחות!$B$15*(1+הנחות!$B$11)),0)</f>
        <v/>
      </c>
      <c r="E20" s="92">
        <f>D20*הנחות!$B$15</f>
        <v/>
      </c>
      <c r="F20" s="92">
        <f>E20*הנחות!$B$14</f>
        <v/>
      </c>
      <c r="G20" s="92">
        <f>E20*(1-הנחות!$B$14)</f>
        <v/>
      </c>
      <c r="H20" s="92">
        <f>D20*הנחות!$B$7</f>
        <v/>
      </c>
      <c r="I20" s="92">
        <f>G20-H20</f>
        <v/>
      </c>
      <c r="J20" s="94">
        <f>IFERROR(I20/E20,0)</f>
        <v/>
      </c>
      <c r="K20" s="93">
        <f>K19+D20</f>
        <v/>
      </c>
      <c r="L20" s="92">
        <f>L19+G20</f>
        <v/>
      </c>
    </row>
    <row r="21">
      <c r="A21" s="47" t="inlineStr">
        <is>
          <t>Sep 2027</t>
        </is>
      </c>
      <c r="B21" s="87">
        <f>הנחות!$B$50*הנחות!$B$30</f>
        <v/>
      </c>
      <c r="C21" s="88">
        <f>(הנחות!$B$21/12)*B21</f>
        <v/>
      </c>
      <c r="D21" s="89">
        <f>ROUND(C21*(1-הנחות!$B$13)/(הנחות!$B$15*(1+הנחות!$B$11)),0)</f>
        <v/>
      </c>
      <c r="E21" s="88">
        <f>D21*הנחות!$B$15</f>
        <v/>
      </c>
      <c r="F21" s="88">
        <f>E21*הנחות!$B$14</f>
        <v/>
      </c>
      <c r="G21" s="88">
        <f>E21*(1-הנחות!$B$14)</f>
        <v/>
      </c>
      <c r="H21" s="88">
        <f>D21*הנחות!$B$7</f>
        <v/>
      </c>
      <c r="I21" s="88">
        <f>G21-H21</f>
        <v/>
      </c>
      <c r="J21" s="90">
        <f>IFERROR(I21/E21,0)</f>
        <v/>
      </c>
      <c r="K21" s="89">
        <f>K20+D21</f>
        <v/>
      </c>
      <c r="L21" s="88">
        <f>L20+G21</f>
        <v/>
      </c>
    </row>
    <row r="22">
      <c r="A22" s="48" t="inlineStr">
        <is>
          <t>Oct 2027</t>
        </is>
      </c>
      <c r="B22" s="91">
        <f>הנחות!$B$51*הנחות!$B$30</f>
        <v/>
      </c>
      <c r="C22" s="92">
        <f>(הנחות!$B$21/12)*B22</f>
        <v/>
      </c>
      <c r="D22" s="93">
        <f>ROUND(C22*(1-הנחות!$B$13)/(הנחות!$B$15*(1+הנחות!$B$11)),0)</f>
        <v/>
      </c>
      <c r="E22" s="92">
        <f>D22*הנחות!$B$15</f>
        <v/>
      </c>
      <c r="F22" s="92">
        <f>E22*הנחות!$B$14</f>
        <v/>
      </c>
      <c r="G22" s="92">
        <f>E22*(1-הנחות!$B$14)</f>
        <v/>
      </c>
      <c r="H22" s="92">
        <f>D22*הנחות!$B$7</f>
        <v/>
      </c>
      <c r="I22" s="92">
        <f>G22-H22</f>
        <v/>
      </c>
      <c r="J22" s="94">
        <f>IFERROR(I22/E22,0)</f>
        <v/>
      </c>
      <c r="K22" s="93">
        <f>K21+D22</f>
        <v/>
      </c>
      <c r="L22" s="92">
        <f>L21+G22</f>
        <v/>
      </c>
    </row>
    <row r="23">
      <c r="A23" s="47" t="inlineStr">
        <is>
          <t>Nov 2027</t>
        </is>
      </c>
      <c r="B23" s="87">
        <f>הנחות!$B$52*הנחות!$B$30</f>
        <v/>
      </c>
      <c r="C23" s="88">
        <f>(הנחות!$B$21/12)*B23</f>
        <v/>
      </c>
      <c r="D23" s="89">
        <f>ROUND(C23*(1-הנחות!$B$13)/(הנחות!$B$15*(1+הנחות!$B$11)),0)</f>
        <v/>
      </c>
      <c r="E23" s="88">
        <f>D23*הנחות!$B$15</f>
        <v/>
      </c>
      <c r="F23" s="88">
        <f>E23*הנחות!$B$14</f>
        <v/>
      </c>
      <c r="G23" s="88">
        <f>E23*(1-הנחות!$B$14)</f>
        <v/>
      </c>
      <c r="H23" s="88">
        <f>D23*הנחות!$B$7</f>
        <v/>
      </c>
      <c r="I23" s="88">
        <f>G23-H23</f>
        <v/>
      </c>
      <c r="J23" s="90">
        <f>IFERROR(I23/E23,0)</f>
        <v/>
      </c>
      <c r="K23" s="89">
        <f>K22+D23</f>
        <v/>
      </c>
      <c r="L23" s="88">
        <f>L22+G23</f>
        <v/>
      </c>
    </row>
    <row r="24">
      <c r="A24" s="48" t="inlineStr">
        <is>
          <t>Dec 2027</t>
        </is>
      </c>
      <c r="B24" s="91">
        <f>הנחות!$B$53*הנחות!$B$30</f>
        <v/>
      </c>
      <c r="C24" s="92">
        <f>(הנחות!$B$21/12)*B24</f>
        <v/>
      </c>
      <c r="D24" s="93">
        <f>ROUND(C24*(1-הנחות!$B$13)/(הנחות!$B$15*(1+הנחות!$B$11)),0)</f>
        <v/>
      </c>
      <c r="E24" s="92">
        <f>D24*הנחות!$B$15</f>
        <v/>
      </c>
      <c r="F24" s="92">
        <f>E24*הנחות!$B$14</f>
        <v/>
      </c>
      <c r="G24" s="92">
        <f>E24*(1-הנחות!$B$14)</f>
        <v/>
      </c>
      <c r="H24" s="92">
        <f>D24*הנחות!$B$7</f>
        <v/>
      </c>
      <c r="I24" s="92">
        <f>G24-H24</f>
        <v/>
      </c>
      <c r="J24" s="94">
        <f>IFERROR(I24/E24,0)</f>
        <v/>
      </c>
      <c r="K24" s="93">
        <f>K23+D24</f>
        <v/>
      </c>
      <c r="L24" s="92">
        <f>L23+G24</f>
        <v/>
      </c>
    </row>
    <row r="25">
      <c r="A25" s="95" t="inlineStr">
        <is>
          <t>H1-2026  (יול׳–דצמ׳ 2026)</t>
        </is>
      </c>
      <c r="C25" s="96">
        <f>SUM(C7:C12)</f>
        <v/>
      </c>
      <c r="D25" s="97">
        <f>SUM(D7:D12)</f>
        <v/>
      </c>
      <c r="E25" s="96">
        <f>SUM(E7:E12)</f>
        <v/>
      </c>
      <c r="F25" s="96">
        <f>SUM(F7:F12)</f>
        <v/>
      </c>
      <c r="G25" s="96">
        <f>SUM(G7:G12)</f>
        <v/>
      </c>
      <c r="H25" s="96">
        <f>SUM(H7:H12)</f>
        <v/>
      </c>
      <c r="I25" s="96">
        <f>SUM(I7:I12)</f>
        <v/>
      </c>
      <c r="J25" s="98">
        <f>IFERROR(SUM(I7:I12)/SUM(E7:E12),0)</f>
        <v/>
      </c>
    </row>
    <row r="26">
      <c r="A26" s="95" t="inlineStr">
        <is>
          <t>H1-2027  (ינו׳–יונ׳ 2027)</t>
        </is>
      </c>
      <c r="C26" s="96">
        <f>SUM(C13:C18)</f>
        <v/>
      </c>
      <c r="D26" s="97">
        <f>SUM(D13:D18)</f>
        <v/>
      </c>
      <c r="E26" s="96">
        <f>SUM(E13:E18)</f>
        <v/>
      </c>
      <c r="F26" s="96">
        <f>SUM(F13:F18)</f>
        <v/>
      </c>
      <c r="G26" s="96">
        <f>SUM(G13:G18)</f>
        <v/>
      </c>
      <c r="H26" s="96">
        <f>SUM(H13:H18)</f>
        <v/>
      </c>
      <c r="I26" s="96">
        <f>SUM(I13:I18)</f>
        <v/>
      </c>
      <c r="J26" s="98">
        <f>IFERROR(SUM(I13:I18)/SUM(E13:E18),0)</f>
        <v/>
      </c>
    </row>
    <row r="27">
      <c r="A27" s="95" t="inlineStr">
        <is>
          <t>H2-2027  (יול׳–דצמ׳ 2027)</t>
        </is>
      </c>
      <c r="C27" s="96">
        <f>SUM(C19:C24)</f>
        <v/>
      </c>
      <c r="D27" s="97">
        <f>SUM(D19:D24)</f>
        <v/>
      </c>
      <c r="E27" s="96">
        <f>SUM(E19:E24)</f>
        <v/>
      </c>
      <c r="F27" s="96">
        <f>SUM(F19:F24)</f>
        <v/>
      </c>
      <c r="G27" s="96">
        <f>SUM(G19:G24)</f>
        <v/>
      </c>
      <c r="H27" s="96">
        <f>SUM(H19:H24)</f>
        <v/>
      </c>
      <c r="I27" s="96">
        <f>SUM(I19:I24)</f>
        <v/>
      </c>
      <c r="J27" s="98">
        <f>IFERROR(SUM(I19:I24)/SUM(E19:E24),0)</f>
        <v/>
      </c>
    </row>
    <row r="28">
      <c r="A28" s="95" t="inlineStr">
        <is>
          <t>סה״כ  (יול׳ 2026 – דצמ׳ 2027)</t>
        </is>
      </c>
      <c r="C28" s="96">
        <f>SUM(C7:C24)</f>
        <v/>
      </c>
      <c r="D28" s="97">
        <f>SUM(D7:D24)</f>
        <v/>
      </c>
      <c r="E28" s="96">
        <f>SUM(E7:E24)</f>
        <v/>
      </c>
      <c r="F28" s="96">
        <f>SUM(F7:F24)</f>
        <v/>
      </c>
      <c r="G28" s="96">
        <f>SUM(G7:G24)</f>
        <v/>
      </c>
      <c r="H28" s="96">
        <f>SUM(H7:H24)</f>
        <v/>
      </c>
      <c r="I28" s="96">
        <f>SUM(I7:I24)</f>
        <v/>
      </c>
      <c r="J28" s="98">
        <f>IFERROR(SUM(I7:I24)/SUM(E7:E24),0)</f>
        <v/>
      </c>
    </row>
    <row r="30" ht="20" customHeight="1">
      <c r="A30" s="99" t="inlineStr">
        <is>
          <t>תרחיש 2: בסיס  —  10% נתח דצמ' 2026 → 12% דצמ' 2027  |  קמפיין Ma Kashur לפי תוכנית  ◄ תוכנית</t>
        </is>
      </c>
    </row>
    <row r="31">
      <c r="A31" s="77" t="inlineStr">
        <is>
          <t>מחיר B2B: ₪10.50  |  מקדם: הנחות!$B$31 × עקומת בסיס  |  שוק: הנחות!$B$21  |  עמלת מעיין: הנחות!$B$14</t>
        </is>
      </c>
    </row>
    <row r="32" ht="30" customHeight="1">
      <c r="A32" s="78" t="inlineStr">
        <is>
          <t>חודש</t>
        </is>
      </c>
      <c r="B32" s="78" t="inlineStr">
        <is>
          <t>נתח
שוק %</t>
        </is>
      </c>
      <c r="C32" s="78" t="inlineStr">
        <is>
          <t>הכנסות B2C
חודשיות (₪)</t>
        </is>
      </c>
      <c r="D32" s="78" t="inlineStr">
        <is>
          <t>יחידות
שנמכרו</t>
        </is>
      </c>
      <c r="E32" s="78" t="inlineStr">
        <is>
          <t>הכנסות B2B
(₪)</t>
        </is>
      </c>
      <c r="F32" s="78" t="inlineStr">
        <is>
          <t>עמלת
מעיין (₪)</t>
        </is>
      </c>
      <c r="G32" s="78" t="inlineStr">
        <is>
          <t>הכנסות נטו
ל-Raito (₪)</t>
        </is>
      </c>
      <c r="H32" s="78" t="inlineStr">
        <is>
          <t>עלות המכר
(₪)</t>
        </is>
      </c>
      <c r="I32" s="78" t="inlineStr">
        <is>
          <t>רווח
גולמי (₪)</t>
        </is>
      </c>
      <c r="J32" s="78" t="inlineStr">
        <is>
          <t>רווח גולמי %
(GP/B2B)</t>
        </is>
      </c>
      <c r="K32" s="78" t="inlineStr">
        <is>
          <t>מצטבר
יחידות</t>
        </is>
      </c>
      <c r="L32" s="78" t="inlineStr">
        <is>
          <t>מצטבר
הכנסות נטו (₪)</t>
        </is>
      </c>
    </row>
    <row r="33">
      <c r="A33" s="42" t="inlineStr">
        <is>
          <t>Jul 2026</t>
        </is>
      </c>
      <c r="B33" s="79">
        <f>הנחות!$B$36*הנחות!$B$31</f>
        <v/>
      </c>
      <c r="C33" s="80">
        <f>(הנחות!$B$21/12)*B33</f>
        <v/>
      </c>
      <c r="D33" s="81">
        <f>ROUND(C33*(1-הנחות!$B$13)/(הנחות!$B$15*(1+הנחות!$B$11)),0)</f>
        <v/>
      </c>
      <c r="E33" s="80">
        <f>D33*הנחות!$B$15</f>
        <v/>
      </c>
      <c r="F33" s="80">
        <f>E33*הנחות!$B$14</f>
        <v/>
      </c>
      <c r="G33" s="80">
        <f>E33*(1-הנחות!$B$14)</f>
        <v/>
      </c>
      <c r="H33" s="80">
        <f>D33*הנחות!$B$7</f>
        <v/>
      </c>
      <c r="I33" s="80">
        <f>G33-H33</f>
        <v/>
      </c>
      <c r="J33" s="79">
        <f>IFERROR(I33/E33,0)</f>
        <v/>
      </c>
      <c r="K33" s="81">
        <f>D33</f>
        <v/>
      </c>
      <c r="L33" s="80">
        <f>G33</f>
        <v/>
      </c>
    </row>
    <row r="34">
      <c r="A34" s="42" t="inlineStr">
        <is>
          <t>Aug 2026</t>
        </is>
      </c>
      <c r="B34" s="82">
        <f>הנחות!$B$37*הנחות!$B$31</f>
        <v/>
      </c>
      <c r="C34" s="80">
        <f>(הנחות!$B$21/12)*B34</f>
        <v/>
      </c>
      <c r="D34" s="81">
        <f>ROUND(C34*(1-הנחות!$B$13)/(הנחות!$B$15*(1+הנחות!$B$11)),0)</f>
        <v/>
      </c>
      <c r="E34" s="80">
        <f>D34*הנחות!$B$15</f>
        <v/>
      </c>
      <c r="F34" s="80">
        <f>E34*הנחות!$B$14</f>
        <v/>
      </c>
      <c r="G34" s="80">
        <f>E34*(1-הנחות!$B$14)</f>
        <v/>
      </c>
      <c r="H34" s="80">
        <f>D34*הנחות!$B$7</f>
        <v/>
      </c>
      <c r="I34" s="80">
        <f>G34-H34</f>
        <v/>
      </c>
      <c r="J34" s="79">
        <f>IFERROR(I34/E34,0)</f>
        <v/>
      </c>
      <c r="K34" s="81">
        <f>K33+D34</f>
        <v/>
      </c>
      <c r="L34" s="80">
        <f>L33+G34</f>
        <v/>
      </c>
    </row>
    <row r="35">
      <c r="A35" s="42" t="inlineStr">
        <is>
          <t>Sep 2026</t>
        </is>
      </c>
      <c r="B35" s="82">
        <f>הנחות!$B$38*הנחות!$B$31</f>
        <v/>
      </c>
      <c r="C35" s="80">
        <f>(הנחות!$B$21/12)*B35</f>
        <v/>
      </c>
      <c r="D35" s="81">
        <f>ROUND(C35*(1-הנחות!$B$13)/(הנחות!$B$15*(1+הנחות!$B$11)),0)</f>
        <v/>
      </c>
      <c r="E35" s="80">
        <f>D35*הנחות!$B$15</f>
        <v/>
      </c>
      <c r="F35" s="80">
        <f>E35*הנחות!$B$14</f>
        <v/>
      </c>
      <c r="G35" s="80">
        <f>E35*(1-הנחות!$B$14)</f>
        <v/>
      </c>
      <c r="H35" s="80">
        <f>D35*הנחות!$B$7</f>
        <v/>
      </c>
      <c r="I35" s="80">
        <f>G35-H35</f>
        <v/>
      </c>
      <c r="J35" s="79">
        <f>IFERROR(I35/E35,0)</f>
        <v/>
      </c>
      <c r="K35" s="81">
        <f>K34+D35</f>
        <v/>
      </c>
      <c r="L35" s="80">
        <f>L34+G35</f>
        <v/>
      </c>
    </row>
    <row r="36">
      <c r="A36" s="42" t="inlineStr">
        <is>
          <t>Oct 2026</t>
        </is>
      </c>
      <c r="B36" s="82">
        <f>הנחות!$B$39*הנחות!$B$31</f>
        <v/>
      </c>
      <c r="C36" s="80">
        <f>(הנחות!$B$21/12)*B36</f>
        <v/>
      </c>
      <c r="D36" s="81">
        <f>ROUND(C36*(1-הנחות!$B$13)/(הנחות!$B$15*(1+הנחות!$B$11)),0)</f>
        <v/>
      </c>
      <c r="E36" s="80">
        <f>D36*הנחות!$B$15</f>
        <v/>
      </c>
      <c r="F36" s="80">
        <f>E36*הנחות!$B$14</f>
        <v/>
      </c>
      <c r="G36" s="80">
        <f>E36*(1-הנחות!$B$14)</f>
        <v/>
      </c>
      <c r="H36" s="80">
        <f>D36*הנחות!$B$7</f>
        <v/>
      </c>
      <c r="I36" s="80">
        <f>G36-H36</f>
        <v/>
      </c>
      <c r="J36" s="79">
        <f>IFERROR(I36/E36,0)</f>
        <v/>
      </c>
      <c r="K36" s="81">
        <f>K35+D36</f>
        <v/>
      </c>
      <c r="L36" s="80">
        <f>L35+G36</f>
        <v/>
      </c>
    </row>
    <row r="37">
      <c r="A37" s="42" t="inlineStr">
        <is>
          <t>Nov 2026</t>
        </is>
      </c>
      <c r="B37" s="82">
        <f>הנחות!$B$40*הנחות!$B$31</f>
        <v/>
      </c>
      <c r="C37" s="80">
        <f>(הנחות!$B$21/12)*B37</f>
        <v/>
      </c>
      <c r="D37" s="81">
        <f>ROUND(C37*(1-הנחות!$B$13)/(הנחות!$B$15*(1+הנחות!$B$11)),0)</f>
        <v/>
      </c>
      <c r="E37" s="80">
        <f>D37*הנחות!$B$15</f>
        <v/>
      </c>
      <c r="F37" s="80">
        <f>E37*הנחות!$B$14</f>
        <v/>
      </c>
      <c r="G37" s="80">
        <f>E37*(1-הנחות!$B$14)</f>
        <v/>
      </c>
      <c r="H37" s="80">
        <f>D37*הנחות!$B$7</f>
        <v/>
      </c>
      <c r="I37" s="80">
        <f>G37-H37</f>
        <v/>
      </c>
      <c r="J37" s="79">
        <f>IFERROR(I37/E37,0)</f>
        <v/>
      </c>
      <c r="K37" s="81">
        <f>K36+D37</f>
        <v/>
      </c>
      <c r="L37" s="80">
        <f>L36+G37</f>
        <v/>
      </c>
    </row>
    <row r="38">
      <c r="A38" s="44" t="inlineStr">
        <is>
          <t>Dec 2026</t>
        </is>
      </c>
      <c r="B38" s="83">
        <f>הנחות!$B$41*הנחות!$B$31</f>
        <v/>
      </c>
      <c r="C38" s="84">
        <f>(הנחות!$B$21/12)*B38</f>
        <v/>
      </c>
      <c r="D38" s="85">
        <f>ROUND(C38*(1-הנחות!$B$13)/(הנחות!$B$15*(1+הנחות!$B$11)),0)</f>
        <v/>
      </c>
      <c r="E38" s="84">
        <f>D38*הנחות!$B$15</f>
        <v/>
      </c>
      <c r="F38" s="84">
        <f>E38*הנחות!$B$14</f>
        <v/>
      </c>
      <c r="G38" s="84">
        <f>E38*(1-הנחות!$B$14)</f>
        <v/>
      </c>
      <c r="H38" s="84">
        <f>D38*הנחות!$B$7</f>
        <v/>
      </c>
      <c r="I38" s="84">
        <f>G38-H38</f>
        <v/>
      </c>
      <c r="J38" s="86">
        <f>IFERROR(I38/E38,0)</f>
        <v/>
      </c>
      <c r="K38" s="85">
        <f>K37+D38</f>
        <v/>
      </c>
      <c r="L38" s="84">
        <f>L37+G38</f>
        <v/>
      </c>
    </row>
    <row r="39">
      <c r="A39" s="47" t="inlineStr">
        <is>
          <t>Jan 2027</t>
        </is>
      </c>
      <c r="B39" s="87">
        <f>הנחות!$B$42*הנחות!$B$31</f>
        <v/>
      </c>
      <c r="C39" s="88">
        <f>(הנחות!$B$21/12)*B39</f>
        <v/>
      </c>
      <c r="D39" s="89">
        <f>ROUND(C39*(1-הנחות!$B$13)/(הנחות!$B$15*(1+הנחות!$B$11)),0)</f>
        <v/>
      </c>
      <c r="E39" s="88">
        <f>D39*הנחות!$B$15</f>
        <v/>
      </c>
      <c r="F39" s="88">
        <f>E39*הנחות!$B$14</f>
        <v/>
      </c>
      <c r="G39" s="88">
        <f>E39*(1-הנחות!$B$14)</f>
        <v/>
      </c>
      <c r="H39" s="88">
        <f>D39*הנחות!$B$7</f>
        <v/>
      </c>
      <c r="I39" s="88">
        <f>G39-H39</f>
        <v/>
      </c>
      <c r="J39" s="90">
        <f>IFERROR(I39/E39,0)</f>
        <v/>
      </c>
      <c r="K39" s="89">
        <f>K38+D39</f>
        <v/>
      </c>
      <c r="L39" s="88">
        <f>L38+G39</f>
        <v/>
      </c>
    </row>
    <row r="40">
      <c r="A40" s="48" t="inlineStr">
        <is>
          <t>Feb 2027</t>
        </is>
      </c>
      <c r="B40" s="91">
        <f>הנחות!$B$43*הנחות!$B$31</f>
        <v/>
      </c>
      <c r="C40" s="92">
        <f>(הנחות!$B$21/12)*B40</f>
        <v/>
      </c>
      <c r="D40" s="93">
        <f>ROUND(C40*(1-הנחות!$B$13)/(הנחות!$B$15*(1+הנחות!$B$11)),0)</f>
        <v/>
      </c>
      <c r="E40" s="92">
        <f>D40*הנחות!$B$15</f>
        <v/>
      </c>
      <c r="F40" s="92">
        <f>E40*הנחות!$B$14</f>
        <v/>
      </c>
      <c r="G40" s="92">
        <f>E40*(1-הנחות!$B$14)</f>
        <v/>
      </c>
      <c r="H40" s="92">
        <f>D40*הנחות!$B$7</f>
        <v/>
      </c>
      <c r="I40" s="92">
        <f>G40-H40</f>
        <v/>
      </c>
      <c r="J40" s="94">
        <f>IFERROR(I40/E40,0)</f>
        <v/>
      </c>
      <c r="K40" s="93">
        <f>K39+D40</f>
        <v/>
      </c>
      <c r="L40" s="92">
        <f>L39+G40</f>
        <v/>
      </c>
    </row>
    <row r="41">
      <c r="A41" s="47" t="inlineStr">
        <is>
          <t>Mar 2027</t>
        </is>
      </c>
      <c r="B41" s="87">
        <f>הנחות!$B$44*הנחות!$B$31</f>
        <v/>
      </c>
      <c r="C41" s="88">
        <f>(הנחות!$B$21/12)*B41</f>
        <v/>
      </c>
      <c r="D41" s="89">
        <f>ROUND(C41*(1-הנחות!$B$13)/(הנחות!$B$15*(1+הנחות!$B$11)),0)</f>
        <v/>
      </c>
      <c r="E41" s="88">
        <f>D41*הנחות!$B$15</f>
        <v/>
      </c>
      <c r="F41" s="88">
        <f>E41*הנחות!$B$14</f>
        <v/>
      </c>
      <c r="G41" s="88">
        <f>E41*(1-הנחות!$B$14)</f>
        <v/>
      </c>
      <c r="H41" s="88">
        <f>D41*הנחות!$B$7</f>
        <v/>
      </c>
      <c r="I41" s="88">
        <f>G41-H41</f>
        <v/>
      </c>
      <c r="J41" s="90">
        <f>IFERROR(I41/E41,0)</f>
        <v/>
      </c>
      <c r="K41" s="89">
        <f>K40+D41</f>
        <v/>
      </c>
      <c r="L41" s="88">
        <f>L40+G41</f>
        <v/>
      </c>
    </row>
    <row r="42">
      <c r="A42" s="48" t="inlineStr">
        <is>
          <t>Apr 2027</t>
        </is>
      </c>
      <c r="B42" s="91">
        <f>הנחות!$B$45*הנחות!$B$31</f>
        <v/>
      </c>
      <c r="C42" s="92">
        <f>(הנחות!$B$21/12)*B42</f>
        <v/>
      </c>
      <c r="D42" s="93">
        <f>ROUND(C42*(1-הנחות!$B$13)/(הנחות!$B$15*(1+הנחות!$B$11)),0)</f>
        <v/>
      </c>
      <c r="E42" s="92">
        <f>D42*הנחות!$B$15</f>
        <v/>
      </c>
      <c r="F42" s="92">
        <f>E42*הנחות!$B$14</f>
        <v/>
      </c>
      <c r="G42" s="92">
        <f>E42*(1-הנחות!$B$14)</f>
        <v/>
      </c>
      <c r="H42" s="92">
        <f>D42*הנחות!$B$7</f>
        <v/>
      </c>
      <c r="I42" s="92">
        <f>G42-H42</f>
        <v/>
      </c>
      <c r="J42" s="94">
        <f>IFERROR(I42/E42,0)</f>
        <v/>
      </c>
      <c r="K42" s="93">
        <f>K41+D42</f>
        <v/>
      </c>
      <c r="L42" s="92">
        <f>L41+G42</f>
        <v/>
      </c>
    </row>
    <row r="43">
      <c r="A43" s="47" t="inlineStr">
        <is>
          <t>May 2027</t>
        </is>
      </c>
      <c r="B43" s="87">
        <f>הנחות!$B$46*הנחות!$B$31</f>
        <v/>
      </c>
      <c r="C43" s="88">
        <f>(הנחות!$B$21/12)*B43</f>
        <v/>
      </c>
      <c r="D43" s="89">
        <f>ROUND(C43*(1-הנחות!$B$13)/(הנחות!$B$15*(1+הנחות!$B$11)),0)</f>
        <v/>
      </c>
      <c r="E43" s="88">
        <f>D43*הנחות!$B$15</f>
        <v/>
      </c>
      <c r="F43" s="88">
        <f>E43*הנחות!$B$14</f>
        <v/>
      </c>
      <c r="G43" s="88">
        <f>E43*(1-הנחות!$B$14)</f>
        <v/>
      </c>
      <c r="H43" s="88">
        <f>D43*הנחות!$B$7</f>
        <v/>
      </c>
      <c r="I43" s="88">
        <f>G43-H43</f>
        <v/>
      </c>
      <c r="J43" s="90">
        <f>IFERROR(I43/E43,0)</f>
        <v/>
      </c>
      <c r="K43" s="89">
        <f>K42+D43</f>
        <v/>
      </c>
      <c r="L43" s="88">
        <f>L42+G43</f>
        <v/>
      </c>
    </row>
    <row r="44">
      <c r="A44" s="48" t="inlineStr">
        <is>
          <t>Jun 2027</t>
        </is>
      </c>
      <c r="B44" s="91">
        <f>הנחות!$B$47*הנחות!$B$31</f>
        <v/>
      </c>
      <c r="C44" s="92">
        <f>(הנחות!$B$21/12)*B44</f>
        <v/>
      </c>
      <c r="D44" s="93">
        <f>ROUND(C44*(1-הנחות!$B$13)/(הנחות!$B$15*(1+הנחות!$B$11)),0)</f>
        <v/>
      </c>
      <c r="E44" s="92">
        <f>D44*הנחות!$B$15</f>
        <v/>
      </c>
      <c r="F44" s="92">
        <f>E44*הנחות!$B$14</f>
        <v/>
      </c>
      <c r="G44" s="92">
        <f>E44*(1-הנחות!$B$14)</f>
        <v/>
      </c>
      <c r="H44" s="92">
        <f>D44*הנחות!$B$7</f>
        <v/>
      </c>
      <c r="I44" s="92">
        <f>G44-H44</f>
        <v/>
      </c>
      <c r="J44" s="94">
        <f>IFERROR(I44/E44,0)</f>
        <v/>
      </c>
      <c r="K44" s="93">
        <f>K43+D44</f>
        <v/>
      </c>
      <c r="L44" s="92">
        <f>L43+G44</f>
        <v/>
      </c>
    </row>
    <row r="45">
      <c r="A45" s="47" t="inlineStr">
        <is>
          <t>Jul 2027</t>
        </is>
      </c>
      <c r="B45" s="87">
        <f>הנחות!$B$48*הנחות!$B$31</f>
        <v/>
      </c>
      <c r="C45" s="88">
        <f>(הנחות!$B$21/12)*B45</f>
        <v/>
      </c>
      <c r="D45" s="89">
        <f>ROUND(C45*(1-הנחות!$B$13)/(הנחות!$B$15*(1+הנחות!$B$11)),0)</f>
        <v/>
      </c>
      <c r="E45" s="88">
        <f>D45*הנחות!$B$15</f>
        <v/>
      </c>
      <c r="F45" s="88">
        <f>E45*הנחות!$B$14</f>
        <v/>
      </c>
      <c r="G45" s="88">
        <f>E45*(1-הנחות!$B$14)</f>
        <v/>
      </c>
      <c r="H45" s="88">
        <f>D45*הנחות!$B$7</f>
        <v/>
      </c>
      <c r="I45" s="88">
        <f>G45-H45</f>
        <v/>
      </c>
      <c r="J45" s="90">
        <f>IFERROR(I45/E45,0)</f>
        <v/>
      </c>
      <c r="K45" s="89">
        <f>K44+D45</f>
        <v/>
      </c>
      <c r="L45" s="88">
        <f>L44+G45</f>
        <v/>
      </c>
    </row>
    <row r="46">
      <c r="A46" s="48" t="inlineStr">
        <is>
          <t>Aug 2027</t>
        </is>
      </c>
      <c r="B46" s="91">
        <f>הנחות!$B$49*הנחות!$B$31</f>
        <v/>
      </c>
      <c r="C46" s="92">
        <f>(הנחות!$B$21/12)*B46</f>
        <v/>
      </c>
      <c r="D46" s="93">
        <f>ROUND(C46*(1-הנחות!$B$13)/(הנחות!$B$15*(1+הנחות!$B$11)),0)</f>
        <v/>
      </c>
      <c r="E46" s="92">
        <f>D46*הנחות!$B$15</f>
        <v/>
      </c>
      <c r="F46" s="92">
        <f>E46*הנחות!$B$14</f>
        <v/>
      </c>
      <c r="G46" s="92">
        <f>E46*(1-הנחות!$B$14)</f>
        <v/>
      </c>
      <c r="H46" s="92">
        <f>D46*הנחות!$B$7</f>
        <v/>
      </c>
      <c r="I46" s="92">
        <f>G46-H46</f>
        <v/>
      </c>
      <c r="J46" s="94">
        <f>IFERROR(I46/E46,0)</f>
        <v/>
      </c>
      <c r="K46" s="93">
        <f>K45+D46</f>
        <v/>
      </c>
      <c r="L46" s="92">
        <f>L45+G46</f>
        <v/>
      </c>
    </row>
    <row r="47">
      <c r="A47" s="47" t="inlineStr">
        <is>
          <t>Sep 2027</t>
        </is>
      </c>
      <c r="B47" s="87">
        <f>הנחות!$B$50*הנחות!$B$31</f>
        <v/>
      </c>
      <c r="C47" s="88">
        <f>(הנחות!$B$21/12)*B47</f>
        <v/>
      </c>
      <c r="D47" s="89">
        <f>ROUND(C47*(1-הנחות!$B$13)/(הנחות!$B$15*(1+הנחות!$B$11)),0)</f>
        <v/>
      </c>
      <c r="E47" s="88">
        <f>D47*הנחות!$B$15</f>
        <v/>
      </c>
      <c r="F47" s="88">
        <f>E47*הנחות!$B$14</f>
        <v/>
      </c>
      <c r="G47" s="88">
        <f>E47*(1-הנחות!$B$14)</f>
        <v/>
      </c>
      <c r="H47" s="88">
        <f>D47*הנחות!$B$7</f>
        <v/>
      </c>
      <c r="I47" s="88">
        <f>G47-H47</f>
        <v/>
      </c>
      <c r="J47" s="90">
        <f>IFERROR(I47/E47,0)</f>
        <v/>
      </c>
      <c r="K47" s="89">
        <f>K46+D47</f>
        <v/>
      </c>
      <c r="L47" s="88">
        <f>L46+G47</f>
        <v/>
      </c>
    </row>
    <row r="48">
      <c r="A48" s="48" t="inlineStr">
        <is>
          <t>Oct 2027</t>
        </is>
      </c>
      <c r="B48" s="91">
        <f>הנחות!$B$51*הנחות!$B$31</f>
        <v/>
      </c>
      <c r="C48" s="92">
        <f>(הנחות!$B$21/12)*B48</f>
        <v/>
      </c>
      <c r="D48" s="93">
        <f>ROUND(C48*(1-הנחות!$B$13)/(הנחות!$B$15*(1+הנחות!$B$11)),0)</f>
        <v/>
      </c>
      <c r="E48" s="92">
        <f>D48*הנחות!$B$15</f>
        <v/>
      </c>
      <c r="F48" s="92">
        <f>E48*הנחות!$B$14</f>
        <v/>
      </c>
      <c r="G48" s="92">
        <f>E48*(1-הנחות!$B$14)</f>
        <v/>
      </c>
      <c r="H48" s="92">
        <f>D48*הנחות!$B$7</f>
        <v/>
      </c>
      <c r="I48" s="92">
        <f>G48-H48</f>
        <v/>
      </c>
      <c r="J48" s="94">
        <f>IFERROR(I48/E48,0)</f>
        <v/>
      </c>
      <c r="K48" s="93">
        <f>K47+D48</f>
        <v/>
      </c>
      <c r="L48" s="92">
        <f>L47+G48</f>
        <v/>
      </c>
    </row>
    <row r="49">
      <c r="A49" s="47" t="inlineStr">
        <is>
          <t>Nov 2027</t>
        </is>
      </c>
      <c r="B49" s="87">
        <f>הנחות!$B$52*הנחות!$B$31</f>
        <v/>
      </c>
      <c r="C49" s="88">
        <f>(הנחות!$B$21/12)*B49</f>
        <v/>
      </c>
      <c r="D49" s="89">
        <f>ROUND(C49*(1-הנחות!$B$13)/(הנחות!$B$15*(1+הנחות!$B$11)),0)</f>
        <v/>
      </c>
      <c r="E49" s="88">
        <f>D49*הנחות!$B$15</f>
        <v/>
      </c>
      <c r="F49" s="88">
        <f>E49*הנחות!$B$14</f>
        <v/>
      </c>
      <c r="G49" s="88">
        <f>E49*(1-הנחות!$B$14)</f>
        <v/>
      </c>
      <c r="H49" s="88">
        <f>D49*הנחות!$B$7</f>
        <v/>
      </c>
      <c r="I49" s="88">
        <f>G49-H49</f>
        <v/>
      </c>
      <c r="J49" s="90">
        <f>IFERROR(I49/E49,0)</f>
        <v/>
      </c>
      <c r="K49" s="89">
        <f>K48+D49</f>
        <v/>
      </c>
      <c r="L49" s="88">
        <f>L48+G49</f>
        <v/>
      </c>
    </row>
    <row r="50">
      <c r="A50" s="48" t="inlineStr">
        <is>
          <t>Dec 2027</t>
        </is>
      </c>
      <c r="B50" s="91">
        <f>הנחות!$B$53*הנחות!$B$31</f>
        <v/>
      </c>
      <c r="C50" s="92">
        <f>(הנחות!$B$21/12)*B50</f>
        <v/>
      </c>
      <c r="D50" s="93">
        <f>ROUND(C50*(1-הנחות!$B$13)/(הנחות!$B$15*(1+הנחות!$B$11)),0)</f>
        <v/>
      </c>
      <c r="E50" s="92">
        <f>D50*הנחות!$B$15</f>
        <v/>
      </c>
      <c r="F50" s="92">
        <f>E50*הנחות!$B$14</f>
        <v/>
      </c>
      <c r="G50" s="92">
        <f>E50*(1-הנחות!$B$14)</f>
        <v/>
      </c>
      <c r="H50" s="92">
        <f>D50*הנחות!$B$7</f>
        <v/>
      </c>
      <c r="I50" s="92">
        <f>G50-H50</f>
        <v/>
      </c>
      <c r="J50" s="94">
        <f>IFERROR(I50/E50,0)</f>
        <v/>
      </c>
      <c r="K50" s="93">
        <f>K49+D50</f>
        <v/>
      </c>
      <c r="L50" s="92">
        <f>L49+G50</f>
        <v/>
      </c>
    </row>
    <row r="51">
      <c r="A51" s="100" t="inlineStr">
        <is>
          <t>H1-2026  (יול׳–דצמ׳ 2026)</t>
        </is>
      </c>
      <c r="C51" s="101">
        <f>SUM(C33:C38)</f>
        <v/>
      </c>
      <c r="D51" s="102">
        <f>SUM(D33:D38)</f>
        <v/>
      </c>
      <c r="E51" s="101">
        <f>SUM(E33:E38)</f>
        <v/>
      </c>
      <c r="F51" s="101">
        <f>SUM(F33:F38)</f>
        <v/>
      </c>
      <c r="G51" s="101">
        <f>SUM(G33:G38)</f>
        <v/>
      </c>
      <c r="H51" s="101">
        <f>SUM(H33:H38)</f>
        <v/>
      </c>
      <c r="I51" s="101">
        <f>SUM(I33:I38)</f>
        <v/>
      </c>
      <c r="J51" s="103">
        <f>IFERROR(SUM(I33:I38)/SUM(E33:E38),0)</f>
        <v/>
      </c>
    </row>
    <row r="52">
      <c r="A52" s="100" t="inlineStr">
        <is>
          <t>H1-2027  (ינו׳–יונ׳ 2027)</t>
        </is>
      </c>
      <c r="C52" s="101">
        <f>SUM(C39:C44)</f>
        <v/>
      </c>
      <c r="D52" s="102">
        <f>SUM(D39:D44)</f>
        <v/>
      </c>
      <c r="E52" s="101">
        <f>SUM(E39:E44)</f>
        <v/>
      </c>
      <c r="F52" s="101">
        <f>SUM(F39:F44)</f>
        <v/>
      </c>
      <c r="G52" s="101">
        <f>SUM(G39:G44)</f>
        <v/>
      </c>
      <c r="H52" s="101">
        <f>SUM(H39:H44)</f>
        <v/>
      </c>
      <c r="I52" s="101">
        <f>SUM(I39:I44)</f>
        <v/>
      </c>
      <c r="J52" s="103">
        <f>IFERROR(SUM(I39:I44)/SUM(E39:E44),0)</f>
        <v/>
      </c>
    </row>
    <row r="53">
      <c r="A53" s="100" t="inlineStr">
        <is>
          <t>H2-2027  (יול׳–דצמ׳ 2027)</t>
        </is>
      </c>
      <c r="C53" s="101">
        <f>SUM(C45:C50)</f>
        <v/>
      </c>
      <c r="D53" s="102">
        <f>SUM(D45:D50)</f>
        <v/>
      </c>
      <c r="E53" s="101">
        <f>SUM(E45:E50)</f>
        <v/>
      </c>
      <c r="F53" s="101">
        <f>SUM(F45:F50)</f>
        <v/>
      </c>
      <c r="G53" s="101">
        <f>SUM(G45:G50)</f>
        <v/>
      </c>
      <c r="H53" s="101">
        <f>SUM(H45:H50)</f>
        <v/>
      </c>
      <c r="I53" s="101">
        <f>SUM(I45:I50)</f>
        <v/>
      </c>
      <c r="J53" s="103">
        <f>IFERROR(SUM(I45:I50)/SUM(E45:E50),0)</f>
        <v/>
      </c>
    </row>
    <row r="54">
      <c r="A54" s="100" t="inlineStr">
        <is>
          <t>סה״כ  (יול׳ 2026 – דצמ׳ 2027)</t>
        </is>
      </c>
      <c r="C54" s="101">
        <f>SUM(C33:C50)</f>
        <v/>
      </c>
      <c r="D54" s="102">
        <f>SUM(D33:D50)</f>
        <v/>
      </c>
      <c r="E54" s="101">
        <f>SUM(E33:E50)</f>
        <v/>
      </c>
      <c r="F54" s="101">
        <f>SUM(F33:F50)</f>
        <v/>
      </c>
      <c r="G54" s="101">
        <f>SUM(G33:G50)</f>
        <v/>
      </c>
      <c r="H54" s="101">
        <f>SUM(H33:H50)</f>
        <v/>
      </c>
      <c r="I54" s="101">
        <f>SUM(I33:I50)</f>
        <v/>
      </c>
      <c r="J54" s="103">
        <f>IFERROR(SUM(I33:I50)/SUM(E33:E50),0)</f>
        <v/>
      </c>
    </row>
    <row r="56" ht="20" customHeight="1">
      <c r="A56" s="104" t="inlineStr">
        <is>
          <t>תרחיש 3: אופטימי  —  13% נתח דצמ' 2026 → 15.6% דצמ' 2027  |  אימוץ ויראלי + משיכה חזקה של Ma Kashur</t>
        </is>
      </c>
    </row>
    <row r="57">
      <c r="A57" s="77" t="inlineStr">
        <is>
          <t>מחיר B2B: ₪10.50  |  מקדם: הנחות!$B$32 × עקומת בסיס  |  שוק: הנחות!$B$21  |  עמלת מעיין: הנחות!$B$14</t>
        </is>
      </c>
    </row>
    <row r="58" ht="30" customHeight="1">
      <c r="A58" s="78" t="inlineStr">
        <is>
          <t>חודש</t>
        </is>
      </c>
      <c r="B58" s="78" t="inlineStr">
        <is>
          <t>נתח
שוק %</t>
        </is>
      </c>
      <c r="C58" s="78" t="inlineStr">
        <is>
          <t>הכנסות B2C
חודשיות (₪)</t>
        </is>
      </c>
      <c r="D58" s="78" t="inlineStr">
        <is>
          <t>יחידות
שנמכרו</t>
        </is>
      </c>
      <c r="E58" s="78" t="inlineStr">
        <is>
          <t>הכנסות B2B
(₪)</t>
        </is>
      </c>
      <c r="F58" s="78" t="inlineStr">
        <is>
          <t>עמלת
מעיין (₪)</t>
        </is>
      </c>
      <c r="G58" s="78" t="inlineStr">
        <is>
          <t>הכנסות נטו
ל-Raito (₪)</t>
        </is>
      </c>
      <c r="H58" s="78" t="inlineStr">
        <is>
          <t>עלות המכר
(₪)</t>
        </is>
      </c>
      <c r="I58" s="78" t="inlineStr">
        <is>
          <t>רווח
גולמי (₪)</t>
        </is>
      </c>
      <c r="J58" s="78" t="inlineStr">
        <is>
          <t>רווח גולמי %
(GP/B2B)</t>
        </is>
      </c>
      <c r="K58" s="78" t="inlineStr">
        <is>
          <t>מצטבר
יחידות</t>
        </is>
      </c>
      <c r="L58" s="78" t="inlineStr">
        <is>
          <t>מצטבר
הכנסות נטו (₪)</t>
        </is>
      </c>
    </row>
    <row r="59">
      <c r="A59" s="42" t="inlineStr">
        <is>
          <t>Jul 2026</t>
        </is>
      </c>
      <c r="B59" s="79">
        <f>הנחות!$B$36*הנחות!$B$32</f>
        <v/>
      </c>
      <c r="C59" s="80">
        <f>(הנחות!$B$21/12)*B59</f>
        <v/>
      </c>
      <c r="D59" s="81">
        <f>ROUND(C59*(1-הנחות!$B$13)/(הנחות!$B$15*(1+הנחות!$B$11)),0)</f>
        <v/>
      </c>
      <c r="E59" s="80">
        <f>D59*הנחות!$B$15</f>
        <v/>
      </c>
      <c r="F59" s="80">
        <f>E59*הנחות!$B$14</f>
        <v/>
      </c>
      <c r="G59" s="80">
        <f>E59*(1-הנחות!$B$14)</f>
        <v/>
      </c>
      <c r="H59" s="80">
        <f>D59*הנחות!$B$7</f>
        <v/>
      </c>
      <c r="I59" s="80">
        <f>G59-H59</f>
        <v/>
      </c>
      <c r="J59" s="79">
        <f>IFERROR(I59/E59,0)</f>
        <v/>
      </c>
      <c r="K59" s="81">
        <f>D59</f>
        <v/>
      </c>
      <c r="L59" s="80">
        <f>G59</f>
        <v/>
      </c>
    </row>
    <row r="60">
      <c r="A60" s="42" t="inlineStr">
        <is>
          <t>Aug 2026</t>
        </is>
      </c>
      <c r="B60" s="82">
        <f>הנחות!$B$37*הנחות!$B$32</f>
        <v/>
      </c>
      <c r="C60" s="80">
        <f>(הנחות!$B$21/12)*B60</f>
        <v/>
      </c>
      <c r="D60" s="81">
        <f>ROUND(C60*(1-הנחות!$B$13)/(הנחות!$B$15*(1+הנחות!$B$11)),0)</f>
        <v/>
      </c>
      <c r="E60" s="80">
        <f>D60*הנחות!$B$15</f>
        <v/>
      </c>
      <c r="F60" s="80">
        <f>E60*הנחות!$B$14</f>
        <v/>
      </c>
      <c r="G60" s="80">
        <f>E60*(1-הנחות!$B$14)</f>
        <v/>
      </c>
      <c r="H60" s="80">
        <f>D60*הנחות!$B$7</f>
        <v/>
      </c>
      <c r="I60" s="80">
        <f>G60-H60</f>
        <v/>
      </c>
      <c r="J60" s="79">
        <f>IFERROR(I60/E60,0)</f>
        <v/>
      </c>
      <c r="K60" s="81">
        <f>K59+D60</f>
        <v/>
      </c>
      <c r="L60" s="80">
        <f>L59+G60</f>
        <v/>
      </c>
    </row>
    <row r="61">
      <c r="A61" s="42" t="inlineStr">
        <is>
          <t>Sep 2026</t>
        </is>
      </c>
      <c r="B61" s="82">
        <f>הנחות!$B$38*הנחות!$B$32</f>
        <v/>
      </c>
      <c r="C61" s="80">
        <f>(הנחות!$B$21/12)*B61</f>
        <v/>
      </c>
      <c r="D61" s="81">
        <f>ROUND(C61*(1-הנחות!$B$13)/(הנחות!$B$15*(1+הנחות!$B$11)),0)</f>
        <v/>
      </c>
      <c r="E61" s="80">
        <f>D61*הנחות!$B$15</f>
        <v/>
      </c>
      <c r="F61" s="80">
        <f>E61*הנחות!$B$14</f>
        <v/>
      </c>
      <c r="G61" s="80">
        <f>E61*(1-הנחות!$B$14)</f>
        <v/>
      </c>
      <c r="H61" s="80">
        <f>D61*הנחות!$B$7</f>
        <v/>
      </c>
      <c r="I61" s="80">
        <f>G61-H61</f>
        <v/>
      </c>
      <c r="J61" s="79">
        <f>IFERROR(I61/E61,0)</f>
        <v/>
      </c>
      <c r="K61" s="81">
        <f>K60+D61</f>
        <v/>
      </c>
      <c r="L61" s="80">
        <f>L60+G61</f>
        <v/>
      </c>
    </row>
    <row r="62">
      <c r="A62" s="42" t="inlineStr">
        <is>
          <t>Oct 2026</t>
        </is>
      </c>
      <c r="B62" s="82">
        <f>הנחות!$B$39*הנחות!$B$32</f>
        <v/>
      </c>
      <c r="C62" s="80">
        <f>(הנחות!$B$21/12)*B62</f>
        <v/>
      </c>
      <c r="D62" s="81">
        <f>ROUND(C62*(1-הנחות!$B$13)/(הנחות!$B$15*(1+הנחות!$B$11)),0)</f>
        <v/>
      </c>
      <c r="E62" s="80">
        <f>D62*הנחות!$B$15</f>
        <v/>
      </c>
      <c r="F62" s="80">
        <f>E62*הנחות!$B$14</f>
        <v/>
      </c>
      <c r="G62" s="80">
        <f>E62*(1-הנחות!$B$14)</f>
        <v/>
      </c>
      <c r="H62" s="80">
        <f>D62*הנחות!$B$7</f>
        <v/>
      </c>
      <c r="I62" s="80">
        <f>G62-H62</f>
        <v/>
      </c>
      <c r="J62" s="79">
        <f>IFERROR(I62/E62,0)</f>
        <v/>
      </c>
      <c r="K62" s="81">
        <f>K61+D62</f>
        <v/>
      </c>
      <c r="L62" s="80">
        <f>L61+G62</f>
        <v/>
      </c>
    </row>
    <row r="63">
      <c r="A63" s="42" t="inlineStr">
        <is>
          <t>Nov 2026</t>
        </is>
      </c>
      <c r="B63" s="82">
        <f>הנחות!$B$40*הנחות!$B$32</f>
        <v/>
      </c>
      <c r="C63" s="80">
        <f>(הנחות!$B$21/12)*B63</f>
        <v/>
      </c>
      <c r="D63" s="81">
        <f>ROUND(C63*(1-הנחות!$B$13)/(הנחות!$B$15*(1+הנחות!$B$11)),0)</f>
        <v/>
      </c>
      <c r="E63" s="80">
        <f>D63*הנחות!$B$15</f>
        <v/>
      </c>
      <c r="F63" s="80">
        <f>E63*הנחות!$B$14</f>
        <v/>
      </c>
      <c r="G63" s="80">
        <f>E63*(1-הנחות!$B$14)</f>
        <v/>
      </c>
      <c r="H63" s="80">
        <f>D63*הנחות!$B$7</f>
        <v/>
      </c>
      <c r="I63" s="80">
        <f>G63-H63</f>
        <v/>
      </c>
      <c r="J63" s="79">
        <f>IFERROR(I63/E63,0)</f>
        <v/>
      </c>
      <c r="K63" s="81">
        <f>K62+D63</f>
        <v/>
      </c>
      <c r="L63" s="80">
        <f>L62+G63</f>
        <v/>
      </c>
    </row>
    <row r="64">
      <c r="A64" s="44" t="inlineStr">
        <is>
          <t>Dec 2026</t>
        </is>
      </c>
      <c r="B64" s="83">
        <f>הנחות!$B$41*הנחות!$B$32</f>
        <v/>
      </c>
      <c r="C64" s="84">
        <f>(הנחות!$B$21/12)*B64</f>
        <v/>
      </c>
      <c r="D64" s="85">
        <f>ROUND(C64*(1-הנחות!$B$13)/(הנחות!$B$15*(1+הנחות!$B$11)),0)</f>
        <v/>
      </c>
      <c r="E64" s="84">
        <f>D64*הנחות!$B$15</f>
        <v/>
      </c>
      <c r="F64" s="84">
        <f>E64*הנחות!$B$14</f>
        <v/>
      </c>
      <c r="G64" s="84">
        <f>E64*(1-הנחות!$B$14)</f>
        <v/>
      </c>
      <c r="H64" s="84">
        <f>D64*הנחות!$B$7</f>
        <v/>
      </c>
      <c r="I64" s="84">
        <f>G64-H64</f>
        <v/>
      </c>
      <c r="J64" s="86">
        <f>IFERROR(I64/E64,0)</f>
        <v/>
      </c>
      <c r="K64" s="85">
        <f>K63+D64</f>
        <v/>
      </c>
      <c r="L64" s="84">
        <f>L63+G64</f>
        <v/>
      </c>
    </row>
    <row r="65">
      <c r="A65" s="47" t="inlineStr">
        <is>
          <t>Jan 2027</t>
        </is>
      </c>
      <c r="B65" s="87">
        <f>הנחות!$B$42*הנחות!$B$32</f>
        <v/>
      </c>
      <c r="C65" s="88">
        <f>(הנחות!$B$21/12)*B65</f>
        <v/>
      </c>
      <c r="D65" s="89">
        <f>ROUND(C65*(1-הנחות!$B$13)/(הנחות!$B$15*(1+הנחות!$B$11)),0)</f>
        <v/>
      </c>
      <c r="E65" s="88">
        <f>D65*הנחות!$B$15</f>
        <v/>
      </c>
      <c r="F65" s="88">
        <f>E65*הנחות!$B$14</f>
        <v/>
      </c>
      <c r="G65" s="88">
        <f>E65*(1-הנחות!$B$14)</f>
        <v/>
      </c>
      <c r="H65" s="88">
        <f>D65*הנחות!$B$7</f>
        <v/>
      </c>
      <c r="I65" s="88">
        <f>G65-H65</f>
        <v/>
      </c>
      <c r="J65" s="90">
        <f>IFERROR(I65/E65,0)</f>
        <v/>
      </c>
      <c r="K65" s="89">
        <f>K64+D65</f>
        <v/>
      </c>
      <c r="L65" s="88">
        <f>L64+G65</f>
        <v/>
      </c>
    </row>
    <row r="66">
      <c r="A66" s="48" t="inlineStr">
        <is>
          <t>Feb 2027</t>
        </is>
      </c>
      <c r="B66" s="91">
        <f>הנחות!$B$43*הנחות!$B$32</f>
        <v/>
      </c>
      <c r="C66" s="92">
        <f>(הנחות!$B$21/12)*B66</f>
        <v/>
      </c>
      <c r="D66" s="93">
        <f>ROUND(C66*(1-הנחות!$B$13)/(הנחות!$B$15*(1+הנחות!$B$11)),0)</f>
        <v/>
      </c>
      <c r="E66" s="92">
        <f>D66*הנחות!$B$15</f>
        <v/>
      </c>
      <c r="F66" s="92">
        <f>E66*הנחות!$B$14</f>
        <v/>
      </c>
      <c r="G66" s="92">
        <f>E66*(1-הנחות!$B$14)</f>
        <v/>
      </c>
      <c r="H66" s="92">
        <f>D66*הנחות!$B$7</f>
        <v/>
      </c>
      <c r="I66" s="92">
        <f>G66-H66</f>
        <v/>
      </c>
      <c r="J66" s="94">
        <f>IFERROR(I66/E66,0)</f>
        <v/>
      </c>
      <c r="K66" s="93">
        <f>K65+D66</f>
        <v/>
      </c>
      <c r="L66" s="92">
        <f>L65+G66</f>
        <v/>
      </c>
    </row>
    <row r="67">
      <c r="A67" s="47" t="inlineStr">
        <is>
          <t>Mar 2027</t>
        </is>
      </c>
      <c r="B67" s="87">
        <f>הנחות!$B$44*הנחות!$B$32</f>
        <v/>
      </c>
      <c r="C67" s="88">
        <f>(הנחות!$B$21/12)*B67</f>
        <v/>
      </c>
      <c r="D67" s="89">
        <f>ROUND(C67*(1-הנחות!$B$13)/(הנחות!$B$15*(1+הנחות!$B$11)),0)</f>
        <v/>
      </c>
      <c r="E67" s="88">
        <f>D67*הנחות!$B$15</f>
        <v/>
      </c>
      <c r="F67" s="88">
        <f>E67*הנחות!$B$14</f>
        <v/>
      </c>
      <c r="G67" s="88">
        <f>E67*(1-הנחות!$B$14)</f>
        <v/>
      </c>
      <c r="H67" s="88">
        <f>D67*הנחות!$B$7</f>
        <v/>
      </c>
      <c r="I67" s="88">
        <f>G67-H67</f>
        <v/>
      </c>
      <c r="J67" s="90">
        <f>IFERROR(I67/E67,0)</f>
        <v/>
      </c>
      <c r="K67" s="89">
        <f>K66+D67</f>
        <v/>
      </c>
      <c r="L67" s="88">
        <f>L66+G67</f>
        <v/>
      </c>
    </row>
    <row r="68">
      <c r="A68" s="48" t="inlineStr">
        <is>
          <t>Apr 2027</t>
        </is>
      </c>
      <c r="B68" s="91">
        <f>הנחות!$B$45*הנחות!$B$32</f>
        <v/>
      </c>
      <c r="C68" s="92">
        <f>(הנחות!$B$21/12)*B68</f>
        <v/>
      </c>
      <c r="D68" s="93">
        <f>ROUND(C68*(1-הנחות!$B$13)/(הנחות!$B$15*(1+הנחות!$B$11)),0)</f>
        <v/>
      </c>
      <c r="E68" s="92">
        <f>D68*הנחות!$B$15</f>
        <v/>
      </c>
      <c r="F68" s="92">
        <f>E68*הנחות!$B$14</f>
        <v/>
      </c>
      <c r="G68" s="92">
        <f>E68*(1-הנחות!$B$14)</f>
        <v/>
      </c>
      <c r="H68" s="92">
        <f>D68*הנחות!$B$7</f>
        <v/>
      </c>
      <c r="I68" s="92">
        <f>G68-H68</f>
        <v/>
      </c>
      <c r="J68" s="94">
        <f>IFERROR(I68/E68,0)</f>
        <v/>
      </c>
      <c r="K68" s="93">
        <f>K67+D68</f>
        <v/>
      </c>
      <c r="L68" s="92">
        <f>L67+G68</f>
        <v/>
      </c>
    </row>
    <row r="69">
      <c r="A69" s="47" t="inlineStr">
        <is>
          <t>May 2027</t>
        </is>
      </c>
      <c r="B69" s="87">
        <f>הנחות!$B$46*הנחות!$B$32</f>
        <v/>
      </c>
      <c r="C69" s="88">
        <f>(הנחות!$B$21/12)*B69</f>
        <v/>
      </c>
      <c r="D69" s="89">
        <f>ROUND(C69*(1-הנחות!$B$13)/(הנחות!$B$15*(1+הנחות!$B$11)),0)</f>
        <v/>
      </c>
      <c r="E69" s="88">
        <f>D69*הנחות!$B$15</f>
        <v/>
      </c>
      <c r="F69" s="88">
        <f>E69*הנחות!$B$14</f>
        <v/>
      </c>
      <c r="G69" s="88">
        <f>E69*(1-הנחות!$B$14)</f>
        <v/>
      </c>
      <c r="H69" s="88">
        <f>D69*הנחות!$B$7</f>
        <v/>
      </c>
      <c r="I69" s="88">
        <f>G69-H69</f>
        <v/>
      </c>
      <c r="J69" s="90">
        <f>IFERROR(I69/E69,0)</f>
        <v/>
      </c>
      <c r="K69" s="89">
        <f>K68+D69</f>
        <v/>
      </c>
      <c r="L69" s="88">
        <f>L68+G69</f>
        <v/>
      </c>
    </row>
    <row r="70">
      <c r="A70" s="48" t="inlineStr">
        <is>
          <t>Jun 2027</t>
        </is>
      </c>
      <c r="B70" s="91">
        <f>הנחות!$B$47*הנחות!$B$32</f>
        <v/>
      </c>
      <c r="C70" s="92">
        <f>(הנחות!$B$21/12)*B70</f>
        <v/>
      </c>
      <c r="D70" s="93">
        <f>ROUND(C70*(1-הנחות!$B$13)/(הנחות!$B$15*(1+הנחות!$B$11)),0)</f>
        <v/>
      </c>
      <c r="E70" s="92">
        <f>D70*הנחות!$B$15</f>
        <v/>
      </c>
      <c r="F70" s="92">
        <f>E70*הנחות!$B$14</f>
        <v/>
      </c>
      <c r="G70" s="92">
        <f>E70*(1-הנחות!$B$14)</f>
        <v/>
      </c>
      <c r="H70" s="92">
        <f>D70*הנחות!$B$7</f>
        <v/>
      </c>
      <c r="I70" s="92">
        <f>G70-H70</f>
        <v/>
      </c>
      <c r="J70" s="94">
        <f>IFERROR(I70/E70,0)</f>
        <v/>
      </c>
      <c r="K70" s="93">
        <f>K69+D70</f>
        <v/>
      </c>
      <c r="L70" s="92">
        <f>L69+G70</f>
        <v/>
      </c>
    </row>
    <row r="71">
      <c r="A71" s="47" t="inlineStr">
        <is>
          <t>Jul 2027</t>
        </is>
      </c>
      <c r="B71" s="87">
        <f>הנחות!$B$48*הנחות!$B$32</f>
        <v/>
      </c>
      <c r="C71" s="88">
        <f>(הנחות!$B$21/12)*B71</f>
        <v/>
      </c>
      <c r="D71" s="89">
        <f>ROUND(C71*(1-הנחות!$B$13)/(הנחות!$B$15*(1+הנחות!$B$11)),0)</f>
        <v/>
      </c>
      <c r="E71" s="88">
        <f>D71*הנחות!$B$15</f>
        <v/>
      </c>
      <c r="F71" s="88">
        <f>E71*הנחות!$B$14</f>
        <v/>
      </c>
      <c r="G71" s="88">
        <f>E71*(1-הנחות!$B$14)</f>
        <v/>
      </c>
      <c r="H71" s="88">
        <f>D71*הנחות!$B$7</f>
        <v/>
      </c>
      <c r="I71" s="88">
        <f>G71-H71</f>
        <v/>
      </c>
      <c r="J71" s="90">
        <f>IFERROR(I71/E71,0)</f>
        <v/>
      </c>
      <c r="K71" s="89">
        <f>K70+D71</f>
        <v/>
      </c>
      <c r="L71" s="88">
        <f>L70+G71</f>
        <v/>
      </c>
    </row>
    <row r="72">
      <c r="A72" s="48" t="inlineStr">
        <is>
          <t>Aug 2027</t>
        </is>
      </c>
      <c r="B72" s="91">
        <f>הנחות!$B$49*הנחות!$B$32</f>
        <v/>
      </c>
      <c r="C72" s="92">
        <f>(הנחות!$B$21/12)*B72</f>
        <v/>
      </c>
      <c r="D72" s="93">
        <f>ROUND(C72*(1-הנחות!$B$13)/(הנחות!$B$15*(1+הנחות!$B$11)),0)</f>
        <v/>
      </c>
      <c r="E72" s="92">
        <f>D72*הנחות!$B$15</f>
        <v/>
      </c>
      <c r="F72" s="92">
        <f>E72*הנחות!$B$14</f>
        <v/>
      </c>
      <c r="G72" s="92">
        <f>E72*(1-הנחות!$B$14)</f>
        <v/>
      </c>
      <c r="H72" s="92">
        <f>D72*הנחות!$B$7</f>
        <v/>
      </c>
      <c r="I72" s="92">
        <f>G72-H72</f>
        <v/>
      </c>
      <c r="J72" s="94">
        <f>IFERROR(I72/E72,0)</f>
        <v/>
      </c>
      <c r="K72" s="93">
        <f>K71+D72</f>
        <v/>
      </c>
      <c r="L72" s="92">
        <f>L71+G72</f>
        <v/>
      </c>
    </row>
    <row r="73">
      <c r="A73" s="47" t="inlineStr">
        <is>
          <t>Sep 2027</t>
        </is>
      </c>
      <c r="B73" s="87">
        <f>הנחות!$B$50*הנחות!$B$32</f>
        <v/>
      </c>
      <c r="C73" s="88">
        <f>(הנחות!$B$21/12)*B73</f>
        <v/>
      </c>
      <c r="D73" s="89">
        <f>ROUND(C73*(1-הנחות!$B$13)/(הנחות!$B$15*(1+הנחות!$B$11)),0)</f>
        <v/>
      </c>
      <c r="E73" s="88">
        <f>D73*הנחות!$B$15</f>
        <v/>
      </c>
      <c r="F73" s="88">
        <f>E73*הנחות!$B$14</f>
        <v/>
      </c>
      <c r="G73" s="88">
        <f>E73*(1-הנחות!$B$14)</f>
        <v/>
      </c>
      <c r="H73" s="88">
        <f>D73*הנחות!$B$7</f>
        <v/>
      </c>
      <c r="I73" s="88">
        <f>G73-H73</f>
        <v/>
      </c>
      <c r="J73" s="90">
        <f>IFERROR(I73/E73,0)</f>
        <v/>
      </c>
      <c r="K73" s="89">
        <f>K72+D73</f>
        <v/>
      </c>
      <c r="L73" s="88">
        <f>L72+G73</f>
        <v/>
      </c>
    </row>
    <row r="74">
      <c r="A74" s="48" t="inlineStr">
        <is>
          <t>Oct 2027</t>
        </is>
      </c>
      <c r="B74" s="91">
        <f>הנחות!$B$51*הנחות!$B$32</f>
        <v/>
      </c>
      <c r="C74" s="92">
        <f>(הנחות!$B$21/12)*B74</f>
        <v/>
      </c>
      <c r="D74" s="93">
        <f>ROUND(C74*(1-הנחות!$B$13)/(הנחות!$B$15*(1+הנחות!$B$11)),0)</f>
        <v/>
      </c>
      <c r="E74" s="92">
        <f>D74*הנחות!$B$15</f>
        <v/>
      </c>
      <c r="F74" s="92">
        <f>E74*הנחות!$B$14</f>
        <v/>
      </c>
      <c r="G74" s="92">
        <f>E74*(1-הנחות!$B$14)</f>
        <v/>
      </c>
      <c r="H74" s="92">
        <f>D74*הנחות!$B$7</f>
        <v/>
      </c>
      <c r="I74" s="92">
        <f>G74-H74</f>
        <v/>
      </c>
      <c r="J74" s="94">
        <f>IFERROR(I74/E74,0)</f>
        <v/>
      </c>
      <c r="K74" s="93">
        <f>K73+D74</f>
        <v/>
      </c>
      <c r="L74" s="92">
        <f>L73+G74</f>
        <v/>
      </c>
    </row>
    <row r="75">
      <c r="A75" s="47" t="inlineStr">
        <is>
          <t>Nov 2027</t>
        </is>
      </c>
      <c r="B75" s="87">
        <f>הנחות!$B$52*הנחות!$B$32</f>
        <v/>
      </c>
      <c r="C75" s="88">
        <f>(הנחות!$B$21/12)*B75</f>
        <v/>
      </c>
      <c r="D75" s="89">
        <f>ROUND(C75*(1-הנחות!$B$13)/(הנחות!$B$15*(1+הנחות!$B$11)),0)</f>
        <v/>
      </c>
      <c r="E75" s="88">
        <f>D75*הנחות!$B$15</f>
        <v/>
      </c>
      <c r="F75" s="88">
        <f>E75*הנחות!$B$14</f>
        <v/>
      </c>
      <c r="G75" s="88">
        <f>E75*(1-הנחות!$B$14)</f>
        <v/>
      </c>
      <c r="H75" s="88">
        <f>D75*הנחות!$B$7</f>
        <v/>
      </c>
      <c r="I75" s="88">
        <f>G75-H75</f>
        <v/>
      </c>
      <c r="J75" s="90">
        <f>IFERROR(I75/E75,0)</f>
        <v/>
      </c>
      <c r="K75" s="89">
        <f>K74+D75</f>
        <v/>
      </c>
      <c r="L75" s="88">
        <f>L74+G75</f>
        <v/>
      </c>
    </row>
    <row r="76">
      <c r="A76" s="48" t="inlineStr">
        <is>
          <t>Dec 2027</t>
        </is>
      </c>
      <c r="B76" s="91">
        <f>הנחות!$B$53*הנחות!$B$32</f>
        <v/>
      </c>
      <c r="C76" s="92">
        <f>(הנחות!$B$21/12)*B76</f>
        <v/>
      </c>
      <c r="D76" s="93">
        <f>ROUND(C76*(1-הנחות!$B$13)/(הנחות!$B$15*(1+הנחות!$B$11)),0)</f>
        <v/>
      </c>
      <c r="E76" s="92">
        <f>D76*הנחות!$B$15</f>
        <v/>
      </c>
      <c r="F76" s="92">
        <f>E76*הנחות!$B$14</f>
        <v/>
      </c>
      <c r="G76" s="92">
        <f>E76*(1-הנחות!$B$14)</f>
        <v/>
      </c>
      <c r="H76" s="92">
        <f>D76*הנחות!$B$7</f>
        <v/>
      </c>
      <c r="I76" s="92">
        <f>G76-H76</f>
        <v/>
      </c>
      <c r="J76" s="94">
        <f>IFERROR(I76/E76,0)</f>
        <v/>
      </c>
      <c r="K76" s="93">
        <f>K75+D76</f>
        <v/>
      </c>
      <c r="L76" s="92">
        <f>L75+G76</f>
        <v/>
      </c>
    </row>
    <row r="77">
      <c r="A77" s="105" t="inlineStr">
        <is>
          <t>H1-2026  (יול׳–דצמ׳ 2026)</t>
        </is>
      </c>
      <c r="C77" s="106">
        <f>SUM(C59:C64)</f>
        <v/>
      </c>
      <c r="D77" s="107">
        <f>SUM(D59:D64)</f>
        <v/>
      </c>
      <c r="E77" s="106">
        <f>SUM(E59:E64)</f>
        <v/>
      </c>
      <c r="F77" s="106">
        <f>SUM(F59:F64)</f>
        <v/>
      </c>
      <c r="G77" s="106">
        <f>SUM(G59:G64)</f>
        <v/>
      </c>
      <c r="H77" s="106">
        <f>SUM(H59:H64)</f>
        <v/>
      </c>
      <c r="I77" s="106">
        <f>SUM(I59:I64)</f>
        <v/>
      </c>
      <c r="J77" s="108">
        <f>IFERROR(SUM(I59:I64)/SUM(E59:E64),0)</f>
        <v/>
      </c>
    </row>
    <row r="78">
      <c r="A78" s="105" t="inlineStr">
        <is>
          <t>H1-2027  (ינו׳–יונ׳ 2027)</t>
        </is>
      </c>
      <c r="C78" s="106">
        <f>SUM(C65:C70)</f>
        <v/>
      </c>
      <c r="D78" s="107">
        <f>SUM(D65:D70)</f>
        <v/>
      </c>
      <c r="E78" s="106">
        <f>SUM(E65:E70)</f>
        <v/>
      </c>
      <c r="F78" s="106">
        <f>SUM(F65:F70)</f>
        <v/>
      </c>
      <c r="G78" s="106">
        <f>SUM(G65:G70)</f>
        <v/>
      </c>
      <c r="H78" s="106">
        <f>SUM(H65:H70)</f>
        <v/>
      </c>
      <c r="I78" s="106">
        <f>SUM(I65:I70)</f>
        <v/>
      </c>
      <c r="J78" s="108">
        <f>IFERROR(SUM(I65:I70)/SUM(E65:E70),0)</f>
        <v/>
      </c>
    </row>
    <row r="79">
      <c r="A79" s="105" t="inlineStr">
        <is>
          <t>H2-2027  (יול׳–דצמ׳ 2027)</t>
        </is>
      </c>
      <c r="C79" s="106">
        <f>SUM(C71:C76)</f>
        <v/>
      </c>
      <c r="D79" s="107">
        <f>SUM(D71:D76)</f>
        <v/>
      </c>
      <c r="E79" s="106">
        <f>SUM(E71:E76)</f>
        <v/>
      </c>
      <c r="F79" s="106">
        <f>SUM(F71:F76)</f>
        <v/>
      </c>
      <c r="G79" s="106">
        <f>SUM(G71:G76)</f>
        <v/>
      </c>
      <c r="H79" s="106">
        <f>SUM(H71:H76)</f>
        <v/>
      </c>
      <c r="I79" s="106">
        <f>SUM(I71:I76)</f>
        <v/>
      </c>
      <c r="J79" s="108">
        <f>IFERROR(SUM(I71:I76)/SUM(E71:E76),0)</f>
        <v/>
      </c>
    </row>
    <row r="80">
      <c r="A80" s="105" t="inlineStr">
        <is>
          <t>סה״כ  (יול׳ 2026 – דצמ׳ 2027)</t>
        </is>
      </c>
      <c r="C80" s="106">
        <f>SUM(C59:C76)</f>
        <v/>
      </c>
      <c r="D80" s="107">
        <f>SUM(D59:D76)</f>
        <v/>
      </c>
      <c r="E80" s="106">
        <f>SUM(E59:E76)</f>
        <v/>
      </c>
      <c r="F80" s="106">
        <f>SUM(F59:F76)</f>
        <v/>
      </c>
      <c r="G80" s="106">
        <f>SUM(G59:G76)</f>
        <v/>
      </c>
      <c r="H80" s="106">
        <f>SUM(H59:H76)</f>
        <v/>
      </c>
      <c r="I80" s="106">
        <f>SUM(I59:I76)</f>
        <v/>
      </c>
      <c r="J80" s="108">
        <f>IFERROR(SUM(I59:I76)/SUM(E59:E76),0)</f>
        <v/>
      </c>
    </row>
  </sheetData>
  <mergeCells count="20">
    <mergeCell ref="A51:B51"/>
    <mergeCell ref="A56:L56"/>
    <mergeCell ref="A79:B79"/>
    <mergeCell ref="A57:L57"/>
    <mergeCell ref="A2:L2"/>
    <mergeCell ref="A78:B78"/>
    <mergeCell ref="A54:B54"/>
    <mergeCell ref="A25:B25"/>
    <mergeCell ref="A5:L5"/>
    <mergeCell ref="A80:B80"/>
    <mergeCell ref="A27:B27"/>
    <mergeCell ref="A4:L4"/>
    <mergeCell ref="A26:B26"/>
    <mergeCell ref="A31:L31"/>
    <mergeCell ref="A53:B53"/>
    <mergeCell ref="A30:L30"/>
    <mergeCell ref="A52:B52"/>
    <mergeCell ref="A1:L1"/>
    <mergeCell ref="A28:B28"/>
    <mergeCell ref="A77:B7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33C00"/>
    <outlinePr summaryBelow="1" summaryRight="1"/>
    <pageSetUpPr/>
  </sheetPr>
  <dimension ref="A1:G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48" customWidth="1" min="7" max="7"/>
  </cols>
  <sheetData>
    <row r="1" ht="28" customHeight="1">
      <c r="A1" s="1" t="inlineStr">
        <is>
          <t>AHLAN קפה — ניתוח שוק  (קטגוריית קפה שחור ישראלית)</t>
        </is>
      </c>
    </row>
    <row r="2">
      <c r="A2" s="2" t="inlineStr">
        <is>
          <t>שוק כולל: ₪350M (כל הערוצים)  |  פאנל Store Next = תת-קבוצה של קמעונאות מאורגנת בלבד (~2,600 נקודות מכירה)  |  שוק פרטי (ערוץ מעיין) יש 15×–20× יותר נקודות מכירה שלא נתפסו על ידי Store Next</t>
        </is>
      </c>
    </row>
    <row r="4">
      <c r="A4" s="3" t="inlineStr">
        <is>
          <t>A. STORE NEXT — מכירות יחידות (אלפים)  ⚠ פאנל קמעונאות מאורגנת בלבד  (אינו מייצג את מלוא שוק ה-₪350M)</t>
        </is>
      </c>
    </row>
    <row r="5">
      <c r="A5" s="4" t="inlineStr">
        <is>
          <t>מוצר / SKU</t>
        </is>
      </c>
      <c r="B5" s="5" t="inlineStr">
        <is>
          <t>2024</t>
        </is>
      </c>
      <c r="C5" s="5" t="inlineStr">
        <is>
          <t>2025</t>
        </is>
      </c>
      <c r="D5" s="5" t="inlineStr">
        <is>
          <t>2026 עד תאריך</t>
        </is>
      </c>
      <c r="E5" s="5" t="inlineStr">
        <is>
          <t>מצטבר 2025</t>
        </is>
      </c>
      <c r="F5" s="5" t="inlineStr">
        <is>
          <t>מצטבר 2026</t>
        </is>
      </c>
      <c r="G5" s="5" t="inlineStr">
        <is>
          <t>הערות</t>
        </is>
      </c>
    </row>
    <row r="6">
      <c r="A6" s="109" t="inlineStr">
        <is>
          <t>סה״כ קטגוריית קפה שחור</t>
        </is>
      </c>
      <c r="B6" s="110" t="n">
        <v>19083.3</v>
      </c>
      <c r="C6" s="110" t="n">
        <v>18472.1</v>
      </c>
      <c r="D6" s="110" t="n">
        <v>3434.74</v>
      </c>
      <c r="E6" s="110" t="n">
        <v>3037.3</v>
      </c>
      <c r="F6" s="110" t="n">
        <v>3074.75</v>
      </c>
      <c r="G6" s="36" t="inlineStr">
        <is>
          <t>סה״כ פאנל קמעונאות מאורגנת, כל ה-SKUs</t>
        </is>
      </c>
    </row>
    <row r="7">
      <c r="A7" s="10" t="inlineStr">
        <is>
          <t>Elite 200 גרם  (מוביל שוק)</t>
        </is>
      </c>
      <c r="B7" s="111" t="n">
        <v>4649.19</v>
      </c>
      <c r="C7" s="111" t="n">
        <v>3875.63</v>
      </c>
      <c r="D7" s="111" t="n">
        <v>896.3099999999999</v>
      </c>
      <c r="E7" s="111" t="n">
        <v>777.0599999999999</v>
      </c>
      <c r="F7" s="111" t="n">
        <v>815.73</v>
      </c>
      <c r="G7" s="13" t="inlineStr">
        <is>
          <t>ירידה ביחידות 2025 לעומת 2024</t>
        </is>
      </c>
    </row>
    <row r="8">
      <c r="A8" s="6" t="inlineStr">
        <is>
          <t>Elite 100g</t>
        </is>
      </c>
      <c r="B8" s="112" t="n">
        <v>2547.96</v>
      </c>
      <c r="C8" s="112" t="n">
        <v>2172.19</v>
      </c>
      <c r="D8" s="112" t="n">
        <v>399.78</v>
      </c>
      <c r="E8" s="112" t="n">
        <v>397.36</v>
      </c>
      <c r="F8" s="112" t="n">
        <v>366.81</v>
      </c>
      <c r="G8" s="9" t="inlineStr">
        <is>
          <t>ירידה קלה</t>
        </is>
      </c>
    </row>
    <row r="9">
      <c r="A9" s="20" t="inlineStr">
        <is>
          <t>Elite 150 גרם  ★ הסגמנט של AHLAN ★</t>
        </is>
      </c>
      <c r="B9" s="113" t="n">
        <v>526.1900000000001</v>
      </c>
      <c r="C9" s="113" t="n">
        <v>1124.84</v>
      </c>
      <c r="D9" s="113" t="n">
        <v>235.48</v>
      </c>
      <c r="E9" s="113" t="n">
        <v>140.71</v>
      </c>
      <c r="F9" s="113" t="n">
        <v>210.18</v>
      </c>
      <c r="G9" s="23" t="inlineStr">
        <is>
          <t>הוכפל ב-2025! +113% יחידות שנתי — ה-SKU הצומח ביותר</t>
        </is>
      </c>
    </row>
    <row r="10">
      <c r="A10" s="6" t="inlineStr">
        <is>
          <t>Elite 85g</t>
        </is>
      </c>
      <c r="B10" s="112" t="n">
        <v>1380.69</v>
      </c>
      <c r="C10" s="112" t="n">
        <v>1106.28</v>
      </c>
      <c r="D10" s="112" t="n">
        <v>154.1</v>
      </c>
      <c r="E10" s="112" t="n">
        <v>218.39</v>
      </c>
      <c r="F10" s="112" t="n">
        <v>135.52</v>
      </c>
      <c r="G10" s="9" t="inlineStr">
        <is>
          <t>בירידה</t>
        </is>
      </c>
    </row>
    <row r="11">
      <c r="A11" s="10" t="inlineStr">
        <is>
          <t>Elite דרך 168 גרם</t>
        </is>
      </c>
      <c r="B11" s="111" t="n">
        <v>526.38</v>
      </c>
      <c r="C11" s="111" t="n">
        <v>660.33</v>
      </c>
      <c r="D11" s="111" t="n">
        <v>136.83</v>
      </c>
      <c r="E11" s="111" t="n">
        <v>110.24</v>
      </c>
      <c r="F11" s="111" t="n">
        <v>123.6</v>
      </c>
      <c r="G11" s="13" t="inlineStr">
        <is>
          <t>צמיחה מתונה</t>
        </is>
      </c>
    </row>
    <row r="12">
      <c r="A12" s="6" t="inlineStr">
        <is>
          <t>Elite 3×85 גרם רב-חבילה</t>
        </is>
      </c>
      <c r="B12" s="112" t="n">
        <v>1119.26</v>
      </c>
      <c r="C12" s="112" t="n">
        <v>945.3200000000001</v>
      </c>
      <c r="D12" s="112" t="n">
        <v>121.69</v>
      </c>
      <c r="E12" s="112" t="n">
        <v>102.69</v>
      </c>
      <c r="F12" s="112" t="n">
        <v>102.36</v>
      </c>
      <c r="G12" s="9" t="inlineStr">
        <is>
          <t>בירידה</t>
        </is>
      </c>
    </row>
    <row r="13">
      <c r="A13" s="10" t="inlineStr">
        <is>
          <t>Elite 100 גרם עם הל</t>
        </is>
      </c>
      <c r="B13" s="111" t="n">
        <v>665.25</v>
      </c>
      <c r="C13" s="111" t="n">
        <v>666.17</v>
      </c>
      <c r="D13" s="111" t="n">
        <v>126.28</v>
      </c>
      <c r="E13" s="111" t="n">
        <v>111.3</v>
      </c>
      <c r="F13" s="111" t="n">
        <v>111.98</v>
      </c>
      <c r="G13" s="13" t="inlineStr">
        <is>
          <t>יציב</t>
        </is>
      </c>
    </row>
    <row r="14">
      <c r="A14" s="6" t="inlineStr">
        <is>
          <t>Elite 98 גרם×3  (חדש 2026)</t>
        </is>
      </c>
      <c r="B14" s="114" t="inlineStr">
        <is>
          <t>-</t>
        </is>
      </c>
      <c r="C14" s="112" t="n">
        <v>0.08</v>
      </c>
      <c r="D14" s="112" t="n">
        <v>119.27</v>
      </c>
      <c r="E14" s="114" t="inlineStr">
        <is>
          <t>-</t>
        </is>
      </c>
      <c r="F14" s="112" t="n">
        <v>116.84</v>
      </c>
      <c r="G14" s="9" t="inlineStr">
        <is>
          <t>כניסה חדשה 2026 — השקה מהירה</t>
        </is>
      </c>
    </row>
    <row r="16">
      <c r="A16" s="3" t="inlineStr">
        <is>
          <t>B. STORE NEXT — ערך ונתח שוק  ⚠ פאנל בלבד  (₪M סיכומים; פריטים = נתח בתוך הפאנל; לא השוק הכולל)</t>
        </is>
      </c>
    </row>
    <row r="17">
      <c r="A17" s="4" t="inlineStr">
        <is>
          <t>מוצר / SKU</t>
        </is>
      </c>
      <c r="B17" s="5" t="inlineStr">
        <is>
          <t>2024</t>
        </is>
      </c>
      <c r="C17" s="5" t="inlineStr">
        <is>
          <t>2025</t>
        </is>
      </c>
      <c r="D17" s="5" t="inlineStr">
        <is>
          <t>2026 עד תאריך</t>
        </is>
      </c>
      <c r="E17" s="5" t="inlineStr">
        <is>
          <t>מצטבר 2025</t>
        </is>
      </c>
      <c r="F17" s="5" t="inlineStr">
        <is>
          <t>מצטבר 2026</t>
        </is>
      </c>
      <c r="G17" s="5" t="inlineStr">
        <is>
          <t>שינוי</t>
        </is>
      </c>
    </row>
    <row r="18">
      <c r="A18" s="115" t="inlineStr">
        <is>
          <t>ערך שוק כולל (₪M)</t>
        </is>
      </c>
      <c r="B18" s="116" t="n">
        <v>303.71</v>
      </c>
      <c r="C18" s="116" t="n">
        <v>343.42</v>
      </c>
      <c r="D18" s="116" t="n">
        <v>65.06999999999999</v>
      </c>
      <c r="E18" s="116" t="n">
        <v>53.83</v>
      </c>
      <c r="F18" s="116" t="n">
        <v>58.19</v>
      </c>
      <c r="G18" s="38" t="inlineStr">
        <is>
          <t>+8.1%</t>
        </is>
      </c>
    </row>
    <row r="19">
      <c r="A19" s="10" t="inlineStr">
        <is>
          <t>Elite 200g  — נתח</t>
        </is>
      </c>
      <c r="B19" s="117" t="n">
        <v>0.242</v>
      </c>
      <c r="C19" s="117" t="n">
        <v>0.204</v>
      </c>
      <c r="D19" s="117" t="n">
        <v>0.247</v>
      </c>
      <c r="E19" s="117" t="n">
        <v>0.26</v>
      </c>
      <c r="F19" s="117" t="n">
        <v>0.251</v>
      </c>
      <c r="G19" s="10" t="inlineStr">
        <is>
          <t>+4.2%</t>
        </is>
      </c>
    </row>
    <row r="20">
      <c r="A20" s="6" t="inlineStr">
        <is>
          <t>Elite 100g  — נתח</t>
        </is>
      </c>
      <c r="B20" s="118" t="n">
        <v>0.078</v>
      </c>
      <c r="C20" s="118" t="n">
        <v>0.07099999999999999</v>
      </c>
      <c r="D20" s="118" t="n">
        <v>0.07000000000000001</v>
      </c>
      <c r="E20" s="118" t="n">
        <v>0.08</v>
      </c>
      <c r="F20" s="118" t="n">
        <v>0.07099999999999999</v>
      </c>
      <c r="G20" s="6" t="inlineStr">
        <is>
          <t>-3.7%</t>
        </is>
      </c>
    </row>
    <row r="21">
      <c r="A21" s="20" t="inlineStr">
        <is>
          <t>Elite 150 גרם  ★  — נתח</t>
        </is>
      </c>
      <c r="B21" s="119" t="n">
        <v>0.022</v>
      </c>
      <c r="C21" s="119" t="n">
        <v>0.045</v>
      </c>
      <c r="D21" s="119" t="n">
        <v>0.051</v>
      </c>
      <c r="E21" s="119" t="n">
        <v>0.036</v>
      </c>
      <c r="F21" s="119" t="n">
        <v>0.051</v>
      </c>
      <c r="G21" s="20" t="inlineStr">
        <is>
          <t>+52.4% !!</t>
        </is>
      </c>
    </row>
    <row r="22">
      <c r="A22" s="6" t="inlineStr">
        <is>
          <t>Elite 3×125g  — נתח</t>
        </is>
      </c>
      <c r="B22" s="118" t="n">
        <v>0.077</v>
      </c>
      <c r="C22" s="118" t="n">
        <v>0.076</v>
      </c>
      <c r="D22" s="118" t="n">
        <v>0.051</v>
      </c>
      <c r="E22" s="118" t="n">
        <v>0.045</v>
      </c>
      <c r="F22" s="118" t="n">
        <v>0.05</v>
      </c>
      <c r="G22" s="6" t="inlineStr">
        <is>
          <t>+21.7%</t>
        </is>
      </c>
    </row>
    <row r="23">
      <c r="A23" s="10" t="inlineStr">
        <is>
          <t>Elite 4×100g  — נתח</t>
        </is>
      </c>
      <c r="B23" s="117" t="n">
        <v>0.08</v>
      </c>
      <c r="C23" s="117" t="n">
        <v>0.054</v>
      </c>
      <c r="D23" s="117" t="n">
        <v>0.046</v>
      </c>
      <c r="E23" s="117" t="n">
        <v>0.053</v>
      </c>
      <c r="F23" s="117" t="n">
        <v>0.045</v>
      </c>
      <c r="G23" s="10" t="inlineStr">
        <is>
          <t>-8.8%</t>
        </is>
      </c>
    </row>
    <row r="24">
      <c r="A24" s="6" t="inlineStr">
        <is>
          <t>Elite 3×85g  — נתח</t>
        </is>
      </c>
      <c r="B24" s="118" t="n">
        <v>0.07000000000000001</v>
      </c>
      <c r="C24" s="118" t="n">
        <v>0.063</v>
      </c>
      <c r="D24" s="118" t="n">
        <v>0.045</v>
      </c>
      <c r="E24" s="118" t="n">
        <v>0.042</v>
      </c>
      <c r="F24" s="118" t="n">
        <v>0.042</v>
      </c>
      <c r="G24" s="6" t="inlineStr">
        <is>
          <t>—</t>
        </is>
      </c>
    </row>
    <row r="25">
      <c r="A25" s="10" t="inlineStr">
        <is>
          <t>Elite 4×115g  (חדש 2026)  — נתח</t>
        </is>
      </c>
      <c r="B25" s="120" t="inlineStr">
        <is>
          <t>—</t>
        </is>
      </c>
      <c r="C25" s="120" t="inlineStr">
        <is>
          <t>—</t>
        </is>
      </c>
      <c r="D25" s="117" t="n">
        <v>0.059</v>
      </c>
      <c r="E25" s="120" t="inlineStr">
        <is>
          <t>—</t>
        </is>
      </c>
      <c r="F25" s="117" t="n">
        <v>0.059</v>
      </c>
      <c r="G25" s="10" t="inlineStr">
        <is>
          <t>—</t>
        </is>
      </c>
    </row>
    <row r="26">
      <c r="A26" s="6" t="inlineStr">
        <is>
          <t>Elite 98g×3  (חדש)  — נתח</t>
        </is>
      </c>
      <c r="B26" s="114" t="inlineStr">
        <is>
          <t>—</t>
        </is>
      </c>
      <c r="C26" s="118" t="n">
        <v>0</v>
      </c>
      <c r="D26" s="118" t="n">
        <v>0.043</v>
      </c>
      <c r="E26" s="114" t="inlineStr">
        <is>
          <t>—</t>
        </is>
      </c>
      <c r="F26" s="118" t="n">
        <v>0.047</v>
      </c>
      <c r="G26" s="6" t="inlineStr">
        <is>
          <t>—</t>
        </is>
      </c>
    </row>
    <row r="28">
      <c r="A28" s="3" t="inlineStr">
        <is>
          <t>C. ניסוח בדוק של גודל שוק  —  מסלול מ-₪350M ל-AHLAN ₪35M</t>
        </is>
      </c>
    </row>
    <row r="29">
      <c r="A29" s="121" t="inlineStr">
        <is>
          <t>Metric</t>
        </is>
      </c>
      <c r="B29" s="122" t="inlineStr">
        <is>
          <t>ערך</t>
        </is>
      </c>
      <c r="C29" s="121" t="inlineStr">
        <is>
          <t>הערות</t>
        </is>
      </c>
    </row>
    <row r="30">
      <c r="A30" s="6" t="inlineStr">
        <is>
          <t>שוק קפה שחור כולל (B2C שנתי)</t>
        </is>
      </c>
      <c r="B30" s="123">
        <f>הנחות!$B$21</f>
        <v/>
      </c>
      <c r="C30" s="9" t="inlineStr">
        <is>
          <t>מאושר — משמש כעוגן מודל</t>
        </is>
      </c>
    </row>
    <row r="31">
      <c r="A31" s="10" t="inlineStr">
        <is>
          <t>נתח שוק יעד AHLAN — דצמבר 2026 (קצב ריצה)</t>
        </is>
      </c>
      <c r="B31" s="68">
        <f>הנחות!$B$22</f>
        <v/>
      </c>
      <c r="C31" s="13" t="inlineStr">
        <is>
          <t>הגעה ל-10% עד דצמבר 2026</t>
        </is>
      </c>
    </row>
    <row r="32">
      <c r="A32" s="6" t="inlineStr">
        <is>
          <t>הכנסות B2C שנתיות של AHLAN ביעד</t>
        </is>
      </c>
      <c r="B32" s="123">
        <f>הנחות!$B$21*הנחות!$B$22</f>
        <v/>
      </c>
      <c r="C32" s="9" t="inlineStr">
        <is>
          <t>₪35M שנתי</t>
        </is>
      </c>
    </row>
    <row r="33">
      <c r="A33" s="10" t="inlineStr">
        <is>
          <t>AHLAN B2C חודשי במטרה מלאה</t>
        </is>
      </c>
      <c r="B33" s="124">
        <f>הנחות!$B$21*הנחות!$B$22/12</f>
        <v/>
      </c>
      <c r="C33" s="13" t="inlineStr">
        <is>
          <t>₪2.92M לחודש בקצב ריצה דצמבר 2026</t>
        </is>
      </c>
    </row>
    <row r="34">
      <c r="A34" s="6" t="inlineStr">
        <is>
          <t>יחידות משתמעות לחודש במטרה (B2C ÷ מחיר B2C משתמע)</t>
        </is>
      </c>
      <c r="B34" s="125">
        <f>הנחות!$B$21*הנחות!$B$22/12*(1-הנחות!$B$13)/(הנחות!$B$15*(1+הנחות!$B$11))</f>
        <v/>
      </c>
      <c r="C34" s="9" t="inlineStr">
        <is>
          <t>~188K יחידות לחודש ב-₪10.50 B2B / 20% קמעונאות שוק פרטי</t>
        </is>
      </c>
    </row>
    <row r="35">
      <c r="A35" s="10" t="inlineStr">
        <is>
          <t>קטע Store Next 150 גרם (קמעונאות מאורגנת 2025)</t>
        </is>
      </c>
      <c r="B35" s="25" t="n">
        <v>15450000</v>
      </c>
      <c r="C35" s="13" t="inlineStr">
        <is>
          <t>4.5% × ₪343.42M פאנל — קמעונאות מאורגנת בלבד</t>
        </is>
      </c>
    </row>
    <row r="36">
      <c r="A36" s="6" t="inlineStr">
        <is>
          <t>קטע 150 גרם עם שוק פרטי (×17.5 אומד.)</t>
        </is>
      </c>
      <c r="B36" s="123">
        <f>B35*(הנחות!$B$25+הנחות!$B$26)/2</f>
        <v/>
      </c>
      <c r="C36" s="9" t="inlineStr">
        <is>
          <t>Store Next 150 גרם × מכפיל נקודת אמצע 17.5×</t>
        </is>
      </c>
    </row>
    <row r="37">
      <c r="A37" s="10" t="inlineStr">
        <is>
          <t>יעד AHLAN לעומת קטע 150 גרם + פרטי</t>
        </is>
      </c>
      <c r="B37" s="68">
        <f>הנחות!$B$21*הנחות!$B$22/B36</f>
        <v/>
      </c>
      <c r="C37" s="13" t="inlineStr">
        <is>
          <t>AHLAN ₪35M כנתח של שוק כולל 150 גרם משוער</t>
        </is>
      </c>
    </row>
    <row r="39">
      <c r="A39" s="3" t="inlineStr">
        <is>
          <t>D. טרנד קטע 150g  —  למה 150g הוא ה-SKU הנכון להשקה עכשיו</t>
        </is>
      </c>
    </row>
    <row r="40">
      <c r="A40" s="121" t="inlineStr">
        <is>
          <t>Metric</t>
        </is>
      </c>
      <c r="B40" s="121" t="inlineStr">
        <is>
          <t>Data</t>
        </is>
      </c>
      <c r="D40" s="121" t="inlineStr">
        <is>
          <t>Insight</t>
        </is>
      </c>
    </row>
    <row r="41" ht="24" customHeight="1">
      <c r="A41" s="6" t="inlineStr">
        <is>
          <t>יחידות Elite 150g 2024 → 2025</t>
        </is>
      </c>
      <c r="B41" s="6" t="inlineStr">
        <is>
          <t>526K → 1,125K  (+113%)</t>
        </is>
      </c>
      <c r="D41" s="126" t="inlineStr">
        <is>
          <t>יותר מהוכפל בשנה — גודל הצומח ביותר בקטגוריה</t>
        </is>
      </c>
    </row>
    <row r="42" ht="24" customHeight="1">
      <c r="A42" s="10" t="inlineStr">
        <is>
          <t>נתח ערך Elite 150g 2024→2025</t>
        </is>
      </c>
      <c r="B42" s="10" t="inlineStr">
        <is>
          <t>2.2% → 4.5%</t>
        </is>
      </c>
      <c r="D42" s="127" t="inlineStr">
        <is>
          <t>השוק משנה באופן פעיל נפח לכיוון גודל חבילה 150g</t>
        </is>
      </c>
    </row>
    <row r="43" ht="24" customHeight="1">
      <c r="A43" s="6" t="inlineStr">
        <is>
          <t>YTD 2026 לעומת אותה תקופה 2025</t>
        </is>
      </c>
      <c r="B43" s="6" t="inlineStr">
        <is>
          <t>210K vs 141K  (+49%)</t>
        </is>
      </c>
      <c r="D43" s="126" t="inlineStr">
        <is>
          <t>תנופת גדילה ממשיכה ל-2026 — קטגוריה לא מאטה</t>
        </is>
      </c>
    </row>
    <row r="44" ht="24" customHeight="1">
      <c r="A44" s="10" t="inlineStr">
        <is>
          <t>טרנד Elite 200g</t>
        </is>
      </c>
      <c r="B44" s="10" t="inlineStr">
        <is>
          <t>בירידה (3,875K → store-level pressure)</t>
        </is>
      </c>
      <c r="D44" s="127" t="inlineStr">
        <is>
          <t>צרכנים מתרחקים מ-200g — 150g היא התבנית המתעוררת</t>
        </is>
      </c>
    </row>
    <row r="45" ht="24" customHeight="1">
      <c r="A45" s="128" t="inlineStr">
        <is>
          <t>הזדמנות AHLAN 150g</t>
        </is>
      </c>
      <c r="B45" s="20" t="inlineStr">
        <is>
          <t>מוביל ראשון בשוק הפרטי 150g</t>
        </is>
      </c>
      <c r="D45" s="129" t="inlineStr">
        <is>
          <t>Elite 150g כמעט לא קיים בשוק הפרטי; מעיין יכול לשלוט בתבנית זו</t>
        </is>
      </c>
    </row>
    <row r="46" ht="24" customHeight="1">
      <c r="A46" s="128" t="inlineStr">
        <is>
          <t>פער הפצה CHP (מרץ 2026)</t>
        </is>
      </c>
      <c r="B46" s="20" t="inlineStr">
        <is>
          <t>Elite 150g: 23/2,194 חנויות (1.05%)</t>
        </is>
      </c>
      <c r="D46" s="129" t="inlineStr">
        <is>
          <t>CHP מאשר את הפער: ביקוש 150g אמיתי אך הפצה כמעט אפס — AHLAN מלא את החלל הזה</t>
        </is>
      </c>
    </row>
    <row r="48">
      <c r="A48" s="3" t="inlineStr">
        <is>
          <t>E. יתרון שיווק  —  שותפות מייסדת Ma Kashur (Baruch / Israelof / Michaelshvili)</t>
        </is>
      </c>
    </row>
    <row r="49">
      <c r="A49" s="121" t="inlineStr">
        <is>
          <t>Asset / Phase</t>
        </is>
      </c>
      <c r="B49" s="121" t="inlineStr">
        <is>
          <t>Impact</t>
        </is>
      </c>
      <c r="E49" s="121" t="inlineStr">
        <is>
          <t>Model משמעות</t>
        </is>
      </c>
    </row>
    <row r="50" ht="32" customHeight="1">
      <c r="A50" s="6" t="inlineStr">
        <is>
          <t>שותפים מייסדים (לא רק תומכים)</t>
        </is>
      </c>
      <c r="B50" s="130" t="inlineStr">
        <is>
          <t>Trio תופס כבעלי מותג — משנה נרטיב מהשקה קorportיבית לתנועה grassroots</t>
        </is>
      </c>
      <c r="E50" s="62" t="inlineStr">
        <is>
          <t>השקה חזקה יותר: 5% נתח מחודש 1 (לעומת 2% ללא משיכת סלבריטי)</t>
        </is>
      </c>
    </row>
    <row r="51" ht="32" customHeight="1">
      <c r="A51" s="10" t="inlineStr">
        <is>
          <t>טווח: גילאי 15–65, ארצי</t>
        </is>
      </c>
      <c r="B51" s="131" t="inlineStr">
        <is>
          <t>הון מותג בין-דורי — היקף פריפריה + מרכזים עירוניים שווה</t>
        </is>
      </c>
      <c r="E51" s="65" t="inlineStr">
        <is>
          <t>עקומה מהירה יותר: יעד 10% ניתן להשגה ב-6 חודשים, לא 12</t>
        </is>
      </c>
    </row>
    <row r="52" ht="32" customHeight="1">
      <c r="A52" s="6" t="inlineStr">
        <is>
          <t>שלב 1: שיבוש דיגיטלי (טרום השקה)</t>
        </is>
      </c>
      <c r="B52" s="130" t="inlineStr">
        <is>
          <t>"מה הקשר לקפה?" — קמפיין טיזר בונה ציפייה לפני ההשקה</t>
        </is>
      </c>
      <c r="E52" s="62" t="inlineStr">
        <is>
          <t>מודעות מוכנה לפני שהמוצר מגיע למדפים → ביקוש יום 1</t>
        </is>
      </c>
    </row>
    <row r="53" ht="32" customHeight="1">
      <c r="A53" s="10" t="inlineStr">
        <is>
          <t>שלב 2: רוויה שוק (יולי 2026)</t>
        </is>
      </c>
      <c r="B53" s="131" t="inlineStr">
        <is>
          <t>קמעונאות בעלת השפעה גבוהה + תחנות דלק + קיוסקים + מהדורות מוגבלות של Trio יוצרות קלות</t>
        </is>
      </c>
      <c r="E53" s="65" t="inlineStr">
        <is>
          <t>חודש השקה יולי 2026 מודל ב-5% נתח (אגרסיבי אך תמוך)</t>
        </is>
      </c>
    </row>
    <row r="54" ht="32" customHeight="1">
      <c r="A54" s="6" t="inlineStr">
        <is>
          <t>שלב 3: בניית קהילה (2027)</t>
        </is>
      </c>
      <c r="B54" s="130" t="inlineStr">
        <is>
          <t>"פרלמנט הקפה" פלטפורמה דיגיטלית — תוכן משתמשים, גישה בלעדית, תערובות עתידיות</t>
        </is>
      </c>
      <c r="E54" s="62" t="inlineStr">
        <is>
          <t>צמיחה 2027 מ-10% → 12% בסיס; קהילה יוצרת רכישה חוזרת ונאמנות מותג</t>
        </is>
      </c>
    </row>
    <row r="55" ht="32" customHeight="1">
      <c r="A55" s="10" t="inlineStr">
        <is>
          <t>עמידות נמוכה לפרסום</t>
        </is>
      </c>
      <c r="B55" s="131" t="inlineStr">
        <is>
          <t>ציבור רואה הודעות Ma Kashur כהמלצות חברים, לא כפרסומות קorportיוות</t>
        </is>
      </c>
      <c r="E55" s="65" t="inlineStr">
        <is>
          <t>שיעור המרה גבוה יותר מהשקת CPG טיפוסית — מצדיק עקומה אגרסיבית</t>
        </is>
      </c>
    </row>
    <row r="56" ht="32" customHeight="1">
      <c r="A56" s="6" t="inlineStr">
        <is>
          <t>גמישות רב-ערוצית</t>
        </is>
      </c>
      <c r="B56" s="130" t="inlineStr">
        <is>
          <t>Stand-up, טלוויזיה, קולנוע, מוזיקה, TikTok — אקוסיסטם מותג 360 מעלות</t>
        </is>
      </c>
      <c r="E56" s="62" t="inlineStr">
        <is>
          <t>נוכחות מדיה בת קיימא תומכת בעקומה; אין תלות בערוץ יחיד</t>
        </is>
      </c>
    </row>
    <row r="58">
      <c r="A58" s="3" t="inlineStr">
        <is>
          <t>F. פאנל STORE NEXT מול שוק כולל  —  למה ₪343M פאנל ≠ ₪350M סה״כ</t>
        </is>
      </c>
    </row>
    <row r="59">
      <c r="A59" s="121" t="inlineStr">
        <is>
          <t>Metric</t>
        </is>
      </c>
      <c r="B59" s="122" t="inlineStr">
        <is>
          <t>פאנל Store Next</t>
        </is>
      </c>
      <c r="C59" s="122" t="inlineStr">
        <is>
          <t>שוק כולל</t>
        </is>
      </c>
      <c r="D59" s="121" t="inlineStr">
        <is>
          <t>הערות</t>
        </is>
      </c>
    </row>
    <row r="60" ht="24" customHeight="1">
      <c r="A60" s="6" t="inlineStr">
        <is>
          <t>Scope</t>
        </is>
      </c>
      <c r="B60" s="61" t="inlineStr">
        <is>
          <t>~2,600 נקודות מכירה קמעונאות מאורגנת</t>
        </is>
      </c>
      <c r="C60" s="132" t="inlineStr">
        <is>
          <t>כל הערוצים כולל שוק פרטי</t>
        </is>
      </c>
      <c r="D60" s="126" t="inlineStr">
        <is>
          <t>Store Next עוקב אחר נתוני סריקה ברשתות נבחרות בלבד</t>
        </is>
      </c>
    </row>
    <row r="61" ht="24" customHeight="1">
      <c r="A61" s="10" t="inlineStr">
        <is>
          <t>Channels</t>
        </is>
      </c>
      <c r="B61" s="64" t="inlineStr">
        <is>
          <t>שופרסל, סופר פארם, טיב טעם...</t>
        </is>
      </c>
      <c r="C61" s="133" t="inlineStr">
        <is>
          <t>+ שוק, מינימרקטים, קיוסקים, תחנות דלק</t>
        </is>
      </c>
      <c r="D61" s="127" t="inlineStr">
        <is>
          <t>שוק פרטי = ערוץ ההפצה העיקרי של מעיין</t>
        </is>
      </c>
    </row>
    <row r="62" ht="24" customHeight="1">
      <c r="A62" s="6" t="inlineStr">
        <is>
          <t>ערך (2025)</t>
        </is>
      </c>
      <c r="B62" s="61" t="inlineStr">
        <is>
          <t>~₪343M (אומדן פאנל)</t>
        </is>
      </c>
      <c r="C62" s="132" t="inlineStr">
        <is>
          <t>₪350M (שוק כולל מאושר)</t>
        </is>
      </c>
      <c r="D62" s="126" t="inlineStr">
        <is>
          <t>הפאנל מכסה רוב ערך הקמעונאות המאורגנת אך לא שוק פרטי</t>
        </is>
      </c>
    </row>
    <row r="63" ht="24" customHeight="1">
      <c r="A63" s="10" t="inlineStr">
        <is>
          <t>POS points</t>
        </is>
      </c>
      <c r="B63" s="64" t="inlineStr">
        <is>
          <t>~2,600 חנויות</t>
        </is>
      </c>
      <c r="C63" s="133" t="inlineStr">
        <is>
          <t>15×–20× יותר (39K–52K אומדן)</t>
        </is>
      </c>
      <c r="D63" s="127" t="inlineStr">
        <is>
          <t>המכפיל חל על נקודות הפצה, לא בהכרח על ערך</t>
        </is>
      </c>
    </row>
    <row r="64" ht="24" customHeight="1">
      <c r="A64" s="6" t="inlineStr">
        <is>
          <t>AHLAN focus</t>
        </is>
      </c>
      <c r="B64" s="61" t="inlineStr">
        <is>
          <t>לא השוק העיקרי של AHLAN</t>
        </is>
      </c>
      <c r="C64" s="132" t="inlineStr">
        <is>
          <t>שוק פרטי הוא יעד מספר 1 של AHLAN</t>
        </is>
      </c>
      <c r="D64" s="126" t="inlineStr">
        <is>
          <t>החוזקה של מעיין בהפצה היא בערוצים ש-Store Next לא מכסה</t>
        </is>
      </c>
    </row>
    <row r="65" ht="24" customHeight="1">
      <c r="A65" s="38" t="inlineStr">
        <is>
          <t>משמעות</t>
        </is>
      </c>
      <c r="B65" s="134" t="inlineStr">
        <is>
          <t>לשימוש למיקס SKU ומודיעין תחרותי</t>
        </is>
      </c>
      <c r="C65" s="135" t="inlineStr">
        <is>
          <t>להשתמש ב-₪350M לכל מידול ההכנסות</t>
        </is>
      </c>
      <c r="D65" s="136" t="inlineStr">
        <is>
          <t>נתוני Store Next מזינים את אסטרטגיית המוצר; ₪350M מעגן את המודל הפיננסי</t>
        </is>
      </c>
    </row>
  </sheetData>
  <mergeCells count="54">
    <mergeCell ref="C30:G30"/>
    <mergeCell ref="C34:G34"/>
    <mergeCell ref="C33:G33"/>
    <mergeCell ref="A4:G4"/>
    <mergeCell ref="B46:C46"/>
    <mergeCell ref="D64:G64"/>
    <mergeCell ref="B53:D53"/>
    <mergeCell ref="D42:G42"/>
    <mergeCell ref="A28:G28"/>
    <mergeCell ref="B43:C43"/>
    <mergeCell ref="C29:G29"/>
    <mergeCell ref="C35:G35"/>
    <mergeCell ref="A58:G58"/>
    <mergeCell ref="E49:G49"/>
    <mergeCell ref="D59:G59"/>
    <mergeCell ref="A39:G39"/>
    <mergeCell ref="D44:G44"/>
    <mergeCell ref="B49:D49"/>
    <mergeCell ref="B42:C42"/>
    <mergeCell ref="A48:G48"/>
    <mergeCell ref="D60:G60"/>
    <mergeCell ref="C31:G31"/>
    <mergeCell ref="D63:G63"/>
    <mergeCell ref="B55:D55"/>
    <mergeCell ref="B51:D51"/>
    <mergeCell ref="D46:G46"/>
    <mergeCell ref="E54:G54"/>
    <mergeCell ref="D40:G40"/>
    <mergeCell ref="B44:C44"/>
    <mergeCell ref="A1:G1"/>
    <mergeCell ref="D65:G65"/>
    <mergeCell ref="D45:G45"/>
    <mergeCell ref="E53:G53"/>
    <mergeCell ref="B50:D50"/>
    <mergeCell ref="A16:G16"/>
    <mergeCell ref="E50:G50"/>
    <mergeCell ref="C36:G36"/>
    <mergeCell ref="E56:G56"/>
    <mergeCell ref="B40:C40"/>
    <mergeCell ref="B54:D54"/>
    <mergeCell ref="E55:G55"/>
    <mergeCell ref="D41:G41"/>
    <mergeCell ref="D61:G61"/>
    <mergeCell ref="E52:G52"/>
    <mergeCell ref="C32:G32"/>
    <mergeCell ref="B45:C45"/>
    <mergeCell ref="B56:D56"/>
    <mergeCell ref="A2:G2"/>
    <mergeCell ref="C37:G37"/>
    <mergeCell ref="B52:D52"/>
    <mergeCell ref="D43:G43"/>
    <mergeCell ref="B41:C41"/>
    <mergeCell ref="E51:G51"/>
    <mergeCell ref="D62:G6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22222"/>
    <outlinePr summaryBelow="1" summaryRight="1"/>
    <pageSetUpPr/>
  </sheetPr>
  <dimension ref="A1:G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4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 ht="28" customHeight="1">
      <c r="A1" s="1" t="inlineStr">
        <is>
          <t>מודיעין שוק CHP — קמעונאות מאורגנת ישראלית  (94 רשתות, 2,194 חנויות)</t>
        </is>
      </c>
    </row>
    <row r="2">
      <c r="A2" s="2" t="inlineStr">
        <is>
          <t>נתוני פאנל CHP: 19 מרץ 2026  |  תמחור ונפיצות תחרותית SKU קפה שחור Elite  |  כיסוי: רשתות מאורגנות בלבד (לא כולל שוק פרטי — המוקד העיקרי של AHLAN)</t>
        </is>
      </c>
    </row>
    <row r="4">
      <c r="A4" s="3" t="inlineStr">
        <is>
          <t>A. תמחור תחרותי — Elite Turkish Coffee SKUs  (נתוני CHP, 19 במרץ 2026)</t>
        </is>
      </c>
    </row>
    <row r="5">
      <c r="A5" s="4" t="inlineStr">
        <is>
          <t>SKU</t>
        </is>
      </c>
      <c r="B5" s="5" t="inlineStr">
        <is>
          <t>מחיר B2C ממוצע (₪)</t>
        </is>
      </c>
      <c r="C5" s="5" t="inlineStr">
        <is>
          <t>מחיר מינימום (₪)</t>
        </is>
      </c>
      <c r="D5" s="5" t="inlineStr">
        <is>
          <t>מחיר מקסימום (₪)</t>
        </is>
      </c>
      <c r="E5" s="5" t="inlineStr">
        <is>
          <t>רשתות עם מחיר</t>
        </is>
      </c>
      <c r="F5" s="5" t="inlineStr">
        <is>
          <t>% מ-94 רשתות</t>
        </is>
      </c>
      <c r="G5" s="5" t="inlineStr">
        <is>
          <t>מחיר ל-100 גרם (₪)</t>
        </is>
      </c>
    </row>
    <row r="6">
      <c r="A6" s="6" t="inlineStr">
        <is>
          <t>Elite 200g</t>
        </is>
      </c>
      <c r="B6" s="24" t="n">
        <v>19.25</v>
      </c>
      <c r="C6" s="24" t="n">
        <v>14.9</v>
      </c>
      <c r="D6" s="24" t="n">
        <v>23.5</v>
      </c>
      <c r="E6" s="137" t="n">
        <v>72</v>
      </c>
      <c r="F6" s="118" t="n">
        <v>0.766</v>
      </c>
      <c r="G6" s="24" t="n">
        <v>9.630000000000001</v>
      </c>
    </row>
    <row r="7">
      <c r="A7" s="10" t="inlineStr">
        <is>
          <t>Elite 100g</t>
        </is>
      </c>
      <c r="B7" s="11" t="n">
        <v>11.53</v>
      </c>
      <c r="C7" s="11" t="n">
        <v>5.9</v>
      </c>
      <c r="D7" s="11" t="n">
        <v>14.9</v>
      </c>
      <c r="E7" s="138" t="n">
        <v>66</v>
      </c>
      <c r="F7" s="117" t="n">
        <v>0.702</v>
      </c>
      <c r="G7" s="11" t="n">
        <v>11.53</v>
      </c>
    </row>
    <row r="8">
      <c r="A8" s="20" t="inlineStr">
        <is>
          <t>Elite 150g</t>
        </is>
      </c>
      <c r="B8" s="50" t="n">
        <v>13.14</v>
      </c>
      <c r="C8" s="50" t="n">
        <v>12.1</v>
      </c>
      <c r="D8" s="50" t="n">
        <v>14.9</v>
      </c>
      <c r="E8" s="139" t="n">
        <v>8</v>
      </c>
      <c r="F8" s="119" t="n">
        <v>0.08500000000000001</v>
      </c>
      <c r="G8" s="50" t="n">
        <v>8.76</v>
      </c>
    </row>
    <row r="9">
      <c r="A9" s="10" t="inlineStr">
        <is>
          <t>Elite 7x24 גרם דרך</t>
        </is>
      </c>
      <c r="B9" s="11" t="n">
        <v>20.83</v>
      </c>
      <c r="C9" s="11" t="n">
        <v>14.9</v>
      </c>
      <c r="D9" s="11" t="n">
        <v>27.9</v>
      </c>
      <c r="E9" s="138" t="n">
        <v>75</v>
      </c>
      <c r="F9" s="117" t="n">
        <v>0.798</v>
      </c>
      <c r="G9" s="11" t="n">
        <v>12.4</v>
      </c>
    </row>
    <row r="10">
      <c r="A10" s="6" t="inlineStr">
        <is>
          <t>Elite 85g</t>
        </is>
      </c>
      <c r="B10" s="24" t="n">
        <v>9.119999999999999</v>
      </c>
      <c r="C10" s="24" t="n">
        <v>8.199999999999999</v>
      </c>
      <c r="D10" s="24" t="n">
        <v>9.9</v>
      </c>
      <c r="E10" s="137" t="n">
        <v>6</v>
      </c>
      <c r="F10" s="118" t="n">
        <v>0.064</v>
      </c>
      <c r="G10" s="24" t="n">
        <v>10.73</v>
      </c>
    </row>
    <row r="11">
      <c r="A11" s="10" t="inlineStr">
        <is>
          <t>Elite 3x85g</t>
        </is>
      </c>
      <c r="B11" s="11" t="n">
        <v>24.46</v>
      </c>
      <c r="C11" s="11" t="n">
        <v>19.9</v>
      </c>
      <c r="D11" s="11" t="n">
        <v>32.9</v>
      </c>
      <c r="E11" s="138" t="n">
        <v>51</v>
      </c>
      <c r="F11" s="117" t="n">
        <v>0.543</v>
      </c>
      <c r="G11" s="11" t="n">
        <v>9.59</v>
      </c>
    </row>
    <row r="12">
      <c r="A12" s="20" t="inlineStr">
        <is>
          <t>AHLAN 150 גרם  (שוק פרטי)</t>
        </is>
      </c>
      <c r="B12" s="50">
        <f>הנחות!$B$15/(1-הנחות!$B$13)*(1+הנחות!$B$11)</f>
        <v/>
      </c>
      <c r="C12" s="22" t="inlineStr">
        <is>
          <t>TBD</t>
        </is>
      </c>
      <c r="D12" s="22" t="inlineStr">
        <is>
          <t>TBD</t>
        </is>
      </c>
      <c r="E12" s="22" t="inlineStr">
        <is>
          <t>—</t>
        </is>
      </c>
      <c r="F12" s="22" t="inlineStr">
        <is>
          <t>—</t>
        </is>
      </c>
      <c r="G12" s="50">
        <f>B12/1.5</f>
        <v/>
      </c>
    </row>
    <row r="14">
      <c r="A14" s="140" t="inlineStr">
        <is>
          <t>תובנת תמחור: Elite 150g ב-₪8.76/100 גרם היא האפשרות הזולה ביותר ל-100 גרם — הצעת ערך거대</t>
        </is>
      </c>
    </row>
    <row r="15">
      <c r="A15" s="36" t="inlineStr">
        <is>
          <t>AHLAN ב-~₪10.31/100 גרם (B2C ₪15.47 / 150g) היא בין Elite 200g ל-100g לגרם — תחרותית</t>
        </is>
      </c>
    </row>
    <row r="16">
      <c r="A16" s="36" t="inlineStr">
        <is>
          <t>רק 8/94 רשתות אפילו מוכרות Elite 150g — מרווח לבן ענק ל-AHLAN למלא</t>
        </is>
      </c>
    </row>
    <row r="18">
      <c r="A18" s="3" t="inlineStr">
        <is>
          <t>B. זיקה הפצה  —  פאנל CHP  (2,194 חנויות, 94 רשתות)</t>
        </is>
      </c>
    </row>
    <row r="19">
      <c r="A19" s="4" t="inlineStr">
        <is>
          <t>SKU</t>
        </is>
      </c>
      <c r="B19" s="5" t="inlineStr">
        <is>
          <t>סה״כ חנויות</t>
        </is>
      </c>
      <c r="C19" s="5" t="inlineStr">
        <is>
          <t>חנויות מוכרות</t>
        </is>
      </c>
      <c r="D19" s="5" t="inlineStr">
        <is>
          <t>% נפיצות</t>
        </is>
      </c>
      <c r="E19" s="5" t="inlineStr">
        <is>
          <t>רשתות פעילות</t>
        </is>
      </c>
      <c r="F19" s="4" t="inlineStr">
        <is>
          <t>פער הזדמנות</t>
        </is>
      </c>
    </row>
    <row r="20">
      <c r="A20" s="6" t="inlineStr">
        <is>
          <t>Elite 200g</t>
        </is>
      </c>
      <c r="B20" s="137" t="n">
        <v>2194</v>
      </c>
      <c r="C20" s="137" t="n">
        <v>1327</v>
      </c>
      <c r="D20" s="118" t="n">
        <v>0.605</v>
      </c>
      <c r="E20" s="141" t="inlineStr">
        <is>
          <t>72 / 94</t>
        </is>
      </c>
      <c r="F20" s="132" t="inlineStr">
        <is>
          <t>מוביל שוק — אמת מידה</t>
        </is>
      </c>
    </row>
    <row r="21">
      <c r="A21" s="10" t="inlineStr">
        <is>
          <t>Elite 100g</t>
        </is>
      </c>
      <c r="B21" s="138" t="n">
        <v>2194</v>
      </c>
      <c r="C21" s="138" t="n">
        <v>1464</v>
      </c>
      <c r="D21" s="117" t="n">
        <v>0.667</v>
      </c>
      <c r="E21" s="142" t="inlineStr">
        <is>
          <t>66 / 94</t>
        </is>
      </c>
      <c r="F21" s="133" t="inlineStr">
        <is>
          <t>הפצה גבוהה ביותר</t>
        </is>
      </c>
    </row>
    <row r="22">
      <c r="A22" s="20" t="inlineStr">
        <is>
          <t>Elite 150g</t>
        </is>
      </c>
      <c r="B22" s="139" t="n">
        <v>2194</v>
      </c>
      <c r="C22" s="139" t="n">
        <v>23</v>
      </c>
      <c r="D22" s="119" t="n">
        <v>0.0105</v>
      </c>
      <c r="E22" s="143" t="inlineStr">
        <is>
          <t>8 / 94</t>
        </is>
      </c>
      <c r="F22" s="144" t="inlineStr">
        <is>
          <t>★ פער ענק — כמעט לא קיים בקמעונאות ★</t>
        </is>
      </c>
    </row>
    <row r="23">
      <c r="A23" s="10" t="inlineStr">
        <is>
          <t>Elite 7x24g Travel</t>
        </is>
      </c>
      <c r="B23" s="138" t="n">
        <v>2194</v>
      </c>
      <c r="C23" s="138" t="n">
        <v>1006</v>
      </c>
      <c r="D23" s="117" t="n">
        <v>0.459</v>
      </c>
      <c r="E23" s="142" t="inlineStr">
        <is>
          <t>75 / 94</t>
        </is>
      </c>
      <c r="F23" s="133" t="inlineStr">
        <is>
          <t>תבנית נסיעה — סגמנט שונה</t>
        </is>
      </c>
    </row>
    <row r="24">
      <c r="A24" s="6" t="inlineStr">
        <is>
          <t>Elite 85g</t>
        </is>
      </c>
      <c r="B24" s="137" t="n">
        <v>2194</v>
      </c>
      <c r="C24" s="137" t="n">
        <v>31</v>
      </c>
      <c r="D24" s="118" t="n">
        <v>0.014</v>
      </c>
      <c r="E24" s="141" t="inlineStr">
        <is>
          <t>6 / 94</t>
        </is>
      </c>
      <c r="F24" s="132" t="inlineStr">
        <is>
          <t>גם זניח</t>
        </is>
      </c>
    </row>
    <row r="25">
      <c r="A25" s="10" t="inlineStr">
        <is>
          <t>Elite 3x85g</t>
        </is>
      </c>
      <c r="B25" s="138" t="n">
        <v>2194</v>
      </c>
      <c r="C25" s="138" t="n">
        <v>778</v>
      </c>
      <c r="D25" s="117" t="n">
        <v>0.355</v>
      </c>
      <c r="E25" s="142" t="inlineStr">
        <is>
          <t>51 / 94</t>
        </is>
      </c>
      <c r="F25" s="133" t="inlineStr">
        <is>
          <t>סגמנט מולטי-חבילה</t>
        </is>
      </c>
    </row>
    <row r="27">
      <c r="A27" s="140" t="inlineStr">
        <is>
          <t>★ מציאה קרִיטית: Elite 150g יש הפצה של 1% בלבד (23 מתוך 2,194 חנויות) למרות הכפלה במכירות Store Next</t>
        </is>
      </c>
    </row>
    <row r="28">
      <c r="A28" s="9" t="inlineStr">
        <is>
          <t>זה אומר שביקוש 150g משמש על ידי חלק זעום של חנויות — ביקוש עדור קיים בכל השוק</t>
        </is>
      </c>
    </row>
    <row r="29">
      <c r="A29" s="140" t="inlineStr">
        <is>
          <t>הזדמנות AHLAN: כנס לקטע 150g דרך שוק הפרטי של מעיין שבו ל-Elite אין נוכחות מאורגנת ZERO</t>
        </is>
      </c>
    </row>
    <row r="30">
      <c r="A30" s="9" t="inlineStr">
        <is>
          <t>CHP מכסה 2,194 חנויות (רחב יותר מ-Store Next ~2,600) — מאשר שפער ההפצה אמיתי בכל הפנלים</t>
        </is>
      </c>
    </row>
    <row r="32">
      <c r="A32" s="3" t="inlineStr">
        <is>
          <t>C. ניתוח זמינות וחוסר מלאי  (חנויות ללא פעילות בקופה)</t>
        </is>
      </c>
    </row>
    <row r="33">
      <c r="A33" s="4" t="inlineStr">
        <is>
          <t>SKU</t>
        </is>
      </c>
      <c r="B33" s="5" t="inlineStr">
        <is>
          <t>חנויות עם חוסר</t>
        </is>
      </c>
      <c r="C33" s="4" t="inlineStr">
        <is>
          <t>הערות</t>
        </is>
      </c>
    </row>
    <row r="34">
      <c r="A34" s="6" t="inlineStr">
        <is>
          <t>Elite 200g</t>
        </is>
      </c>
      <c r="B34" s="145" t="n">
        <v>146</v>
      </c>
      <c r="C34" s="126" t="inlineStr">
        <is>
          <t>חוסר משמעותי למוביל שוק</t>
        </is>
      </c>
    </row>
    <row r="35">
      <c r="A35" s="10" t="inlineStr">
        <is>
          <t>Elite 100g</t>
        </is>
      </c>
      <c r="B35" s="146" t="n">
        <v>145</v>
      </c>
      <c r="C35" s="127" t="inlineStr">
        <is>
          <t>רמה דומה של בעיות אספקה</t>
        </is>
      </c>
    </row>
    <row r="36">
      <c r="A36" s="20" t="inlineStr">
        <is>
          <t>Elite 150g</t>
        </is>
      </c>
      <c r="B36" s="147" t="n">
        <v>47</v>
      </c>
      <c r="C36" s="129" t="inlineStr">
        <is>
          <t>מוחלט נמוך — אבל 150g רק בחנויות ~70 שנרשמו אי פעם → ~67% שיעור חוסר!</t>
        </is>
      </c>
    </row>
    <row r="37">
      <c r="A37" s="10" t="inlineStr">
        <is>
          <t>Elite 7x24g Travel</t>
        </is>
      </c>
      <c r="B37" s="146" t="n">
        <v>167</v>
      </c>
      <c r="C37" s="127" t="inlineStr">
        <is>
          <t>חוסרים גבוהים ביותר — בעיות שרשרת אספקה?</t>
        </is>
      </c>
    </row>
    <row r="38">
      <c r="A38" s="6" t="inlineStr">
        <is>
          <t>Elite 85g</t>
        </is>
      </c>
      <c r="B38" s="145" t="n">
        <v>52</v>
      </c>
      <c r="C38" s="126" t="inlineStr">
        <is>
          <t>מתון</t>
        </is>
      </c>
    </row>
    <row r="39">
      <c r="A39" s="10" t="inlineStr">
        <is>
          <t>Elite 3x85g</t>
        </is>
      </c>
      <c r="B39" s="146" t="n">
        <v>125</v>
      </c>
      <c r="C39" s="127" t="inlineStr">
        <is>
          <t>משמעותי</t>
        </is>
      </c>
    </row>
    <row r="41">
      <c r="A41" s="140" t="inlineStr">
        <is>
          <t>שיעור החוסר של Elite 150g מרמז ש-~67% מהחנויות שאי פעם מכרו הפסיקו למכור — בעיית אספקה/תשומת לב מ-Strauss, לא בעיית ביקוש</t>
        </is>
      </c>
    </row>
    <row r="43">
      <c r="A43" s="148" t="inlineStr">
        <is>
          <t>רשתות מובילות לפי ספירת חוסר (כל ה-SKUs):</t>
        </is>
      </c>
    </row>
    <row r="44">
      <c r="A44" s="6" t="inlineStr">
        <is>
          <t>Yellow</t>
        </is>
      </c>
      <c r="B44" s="145" t="n">
        <v>183</v>
      </c>
      <c r="C44" s="126" t="inlineStr">
        <is>
          <t>חנויות עם חוסר/אי-מכירה</t>
        </is>
      </c>
    </row>
    <row r="45">
      <c r="A45" s="10" t="inlineStr">
        <is>
          <t>Carrefour City</t>
        </is>
      </c>
      <c r="B45" s="146" t="n">
        <v>50</v>
      </c>
      <c r="C45" s="127" t="inlineStr">
        <is>
          <t>חנויות עם חוסר/אי-מכירה</t>
        </is>
      </c>
    </row>
    <row r="46">
      <c r="A46" s="6" t="inlineStr">
        <is>
          <t>Super Yuda</t>
        </is>
      </c>
      <c r="B46" s="145" t="n">
        <v>48</v>
      </c>
      <c r="C46" s="126" t="inlineStr">
        <is>
          <t>חנויות עם חוסר/אי-מכירה</t>
        </is>
      </c>
    </row>
    <row r="47">
      <c r="A47" s="10" t="inlineStr">
        <is>
          <t>נתיב החסד</t>
        </is>
      </c>
      <c r="B47" s="146" t="n">
        <v>25</v>
      </c>
      <c r="C47" s="127" t="inlineStr">
        <is>
          <t>חנויות עם חוסר/אי-מכירה</t>
        </is>
      </c>
    </row>
    <row r="48">
      <c r="A48" s="6" t="inlineStr">
        <is>
          <t>Brachel</t>
        </is>
      </c>
      <c r="B48" s="145" t="n">
        <v>24</v>
      </c>
      <c r="C48" s="126" t="inlineStr">
        <is>
          <t>חנויות עם חוסר/אי-מכירה</t>
        </is>
      </c>
    </row>
    <row r="50">
      <c r="A50" s="3" t="inlineStr">
        <is>
          <t>D. AHLAN 150g — מיצוב אסטרטגי  (סיכום)</t>
        </is>
      </c>
    </row>
    <row r="51" ht="22" customHeight="1">
      <c r="A51" s="37" t="inlineStr">
        <is>
          <t>קטע 150g מתוכפל שנה לשנה ב-Store Next (526K → 1,125K יחידות, +113%)</t>
        </is>
      </c>
    </row>
    <row r="52" ht="22" customHeight="1">
      <c r="A52" s="6" t="inlineStr">
        <is>
          <t>Elite 150g יש הפצה של 1% בלבד — ביקוש עולה בהרבה על אספקה/זמינות</t>
        </is>
      </c>
    </row>
    <row r="53" ht="22" customHeight="1">
      <c r="A53" s="37" t="inlineStr">
        <is>
          <t>Elite 150g היא האפשרות הזולה ביותר לגרם (₪8.76/100 גרם) — נקודת הכושר של ערך צרכן</t>
        </is>
      </c>
    </row>
    <row r="54" ht="22" customHeight="1">
      <c r="A54" s="6" t="inlineStr">
        <is>
          <t>AHLAN כנס דרך שוק פרטי (מעיין) שבו Elite 150g יש נוכחות ZERO</t>
        </is>
      </c>
    </row>
    <row r="55" ht="22" customHeight="1">
      <c r="A55" s="37" t="inlineStr">
        <is>
          <t>B2B ₪10.50 → B2C ₪15.47 תחרותי לעומת תמחור Elite בקמעונאות מאורגנת</t>
        </is>
      </c>
    </row>
    <row r="56" ht="22" customHeight="1">
      <c r="A56" s="20" t="inlineStr">
        <is>
          <t>נתוני CHP מאשרים: 150g הוא שוק ענק שלא שירות — AHLAN ממוצב בצורה מושלמת</t>
        </is>
      </c>
    </row>
  </sheetData>
  <mergeCells count="39">
    <mergeCell ref="A32:G32"/>
    <mergeCell ref="A14:G14"/>
    <mergeCell ref="C34:G34"/>
    <mergeCell ref="A53:G53"/>
    <mergeCell ref="F25:G25"/>
    <mergeCell ref="C33:G33"/>
    <mergeCell ref="A4:G4"/>
    <mergeCell ref="A29:G29"/>
    <mergeCell ref="C45:G45"/>
    <mergeCell ref="A52:G52"/>
    <mergeCell ref="A43:G43"/>
    <mergeCell ref="A28:G28"/>
    <mergeCell ref="F21:G21"/>
    <mergeCell ref="C35:G35"/>
    <mergeCell ref="F24:G24"/>
    <mergeCell ref="C47:G47"/>
    <mergeCell ref="F20:G20"/>
    <mergeCell ref="C44:G44"/>
    <mergeCell ref="A30:G30"/>
    <mergeCell ref="A15:G15"/>
    <mergeCell ref="A51:G51"/>
    <mergeCell ref="A1:G1"/>
    <mergeCell ref="C46:G46"/>
    <mergeCell ref="F23:G23"/>
    <mergeCell ref="A16:G16"/>
    <mergeCell ref="F22:G22"/>
    <mergeCell ref="C36:G36"/>
    <mergeCell ref="A54:G54"/>
    <mergeCell ref="C39:G39"/>
    <mergeCell ref="A41:G41"/>
    <mergeCell ref="C48:G48"/>
    <mergeCell ref="A18:G18"/>
    <mergeCell ref="A27:G27"/>
    <mergeCell ref="A56:G56"/>
    <mergeCell ref="C38:G38"/>
    <mergeCell ref="A55:G55"/>
    <mergeCell ref="A50:G50"/>
    <mergeCell ref="A2:G2"/>
    <mergeCell ref="C37:G3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M2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28" customHeight="1">
      <c r="A1" s="1" t="inlineStr">
        <is>
          <t>AHLAN קפה 150 גרם — סיכום רווח והפסד  (הכנסות B2B כשורה עליונה)</t>
        </is>
      </c>
    </row>
    <row r="2">
      <c r="A2" s="2" t="inlineStr">
        <is>
          <t>Raito מוכר B2B  |  B2B ₪10.50 מומלץ  |  עמלת מעיין 18%  |  כל הנתונים מצליבים הפניה לתחזית מכירות  —  שנה הנחות לעדכון</t>
        </is>
      </c>
    </row>
    <row r="4">
      <c r="A4" s="3" t="inlineStr">
        <is>
          <t>סיכום רווח והפסד  —  שורת הכנסות B2B עליונה  |  כל הערכים ב-₪</t>
        </is>
      </c>
    </row>
    <row r="5">
      <c r="A5" t="inlineStr"/>
      <c r="B5" s="149" t="inlineStr">
        <is>
          <t>שמרני</t>
        </is>
      </c>
      <c r="F5" s="150" t="inlineStr">
        <is>
          <t>בסיס</t>
        </is>
      </c>
      <c r="J5" s="151" t="inlineStr">
        <is>
          <t>אופטימי</t>
        </is>
      </c>
    </row>
    <row r="6" ht="28" customHeight="1">
      <c r="A6" s="152" t="inlineStr">
        <is>
          <t>סעיף</t>
        </is>
      </c>
      <c r="B6" s="153" t="inlineStr">
        <is>
          <t>H1-2026
(יול׳–דצמ׳)</t>
        </is>
      </c>
      <c r="C6" s="153" t="inlineStr">
        <is>
          <t>H1-2027
(ינו׳–יונ׳)</t>
        </is>
      </c>
      <c r="D6" s="153" t="inlineStr">
        <is>
          <t>H2-2027
(יול׳–דצמ׳)</t>
        </is>
      </c>
      <c r="E6" s="153" t="inlineStr">
        <is>
          <t>סה״כ
18 חודשים</t>
        </is>
      </c>
      <c r="F6" s="154" t="inlineStr">
        <is>
          <t>H1-2026
(יול׳–דצמ׳)</t>
        </is>
      </c>
      <c r="G6" s="154" t="inlineStr">
        <is>
          <t>H1-2027
(ינו׳–יונ׳)</t>
        </is>
      </c>
      <c r="H6" s="154" t="inlineStr">
        <is>
          <t>H2-2027
(יול׳–דצמ׳)</t>
        </is>
      </c>
      <c r="I6" s="154" t="inlineStr">
        <is>
          <t>סה״כ
18 חודשים</t>
        </is>
      </c>
      <c r="J6" s="155" t="inlineStr">
        <is>
          <t>H1-2026
(יול׳–דצמ׳)</t>
        </is>
      </c>
      <c r="K6" s="155" t="inlineStr">
        <is>
          <t>H1-2027
(ינו׳–יונ׳)</t>
        </is>
      </c>
      <c r="L6" s="155" t="inlineStr">
        <is>
          <t>H2-2027
(יול׳–דצמ׳)</t>
        </is>
      </c>
      <c r="M6" s="155" t="inlineStr">
        <is>
          <t>סה״כ
18 חודשים</t>
        </is>
      </c>
    </row>
    <row r="7">
      <c r="A7" s="156" t="inlineStr">
        <is>
          <t>הכנסות B2B (חשבונית Raito)</t>
        </is>
      </c>
      <c r="B7" s="157">
        <f>'תחזית מכירות'!$E$25</f>
        <v/>
      </c>
      <c r="C7" s="157">
        <f>'תחזית מכירות'!$E$26</f>
        <v/>
      </c>
      <c r="D7" s="157">
        <f>'תחזית מכירות'!$E$27</f>
        <v/>
      </c>
      <c r="E7" s="157">
        <f>'תחזית מכירות'!$E$28</f>
        <v/>
      </c>
      <c r="F7" s="157">
        <f>'תחזית מכירות'!$E$51</f>
        <v/>
      </c>
      <c r="G7" s="157">
        <f>'תחזית מכירות'!$E$52</f>
        <v/>
      </c>
      <c r="H7" s="157">
        <f>'תחזית מכירות'!$E$53</f>
        <v/>
      </c>
      <c r="I7" s="157">
        <f>'תחזית מכירות'!$E$54</f>
        <v/>
      </c>
      <c r="J7" s="157">
        <f>'תחזית מכירות'!$E$77</f>
        <v/>
      </c>
      <c r="K7" s="157">
        <f>'תחזית מכירות'!$E$78</f>
        <v/>
      </c>
      <c r="L7" s="157">
        <f>'תחזית מכירות'!$E$79</f>
        <v/>
      </c>
      <c r="M7" s="157">
        <f>'תחזית מכירות'!$E$80</f>
        <v/>
      </c>
    </row>
    <row r="8">
      <c r="A8" s="158" t="inlineStr">
        <is>
          <t>– עמלת מעיין</t>
        </is>
      </c>
      <c r="B8" s="159">
        <f>'תחזית מכירות'!$F$25</f>
        <v/>
      </c>
      <c r="C8" s="159">
        <f>'תחזית מכירות'!$F$26</f>
        <v/>
      </c>
      <c r="D8" s="159">
        <f>'תחזית מכירות'!$F$27</f>
        <v/>
      </c>
      <c r="E8" s="159">
        <f>'תחזית מכירות'!$F$28</f>
        <v/>
      </c>
      <c r="F8" s="159">
        <f>'תחזית מכירות'!$F$51</f>
        <v/>
      </c>
      <c r="G8" s="159">
        <f>'תחזית מכירות'!$F$52</f>
        <v/>
      </c>
      <c r="H8" s="159">
        <f>'תחזית מכירות'!$F$53</f>
        <v/>
      </c>
      <c r="I8" s="159">
        <f>'תחזית מכירות'!$F$54</f>
        <v/>
      </c>
      <c r="J8" s="159">
        <f>'תחזית מכירות'!$F$77</f>
        <v/>
      </c>
      <c r="K8" s="159">
        <f>'תחזית מכירות'!$F$78</f>
        <v/>
      </c>
      <c r="L8" s="159">
        <f>'תחזית מכירות'!$F$79</f>
        <v/>
      </c>
      <c r="M8" s="159">
        <f>'תחזית מכירות'!$F$80</f>
        <v/>
      </c>
    </row>
    <row r="9">
      <c r="A9" s="72" t="inlineStr">
        <is>
          <t>► הכנסות נטו ל-Raito</t>
        </is>
      </c>
      <c r="B9" s="160">
        <f>'תחזית מכירות'!$G$25</f>
        <v/>
      </c>
      <c r="C9" s="160">
        <f>'תחזית מכירות'!$G$26</f>
        <v/>
      </c>
      <c r="D9" s="160">
        <f>'תחזית מכירות'!$G$27</f>
        <v/>
      </c>
      <c r="E9" s="160">
        <f>'תחזית מכירות'!$G$28</f>
        <v/>
      </c>
      <c r="F9" s="160">
        <f>'תחזית מכירות'!$G$51</f>
        <v/>
      </c>
      <c r="G9" s="160">
        <f>'תחזית מכירות'!$G$52</f>
        <v/>
      </c>
      <c r="H9" s="160">
        <f>'תחזית מכירות'!$G$53</f>
        <v/>
      </c>
      <c r="I9" s="160">
        <f>'תחזית מכירות'!$G$54</f>
        <v/>
      </c>
      <c r="J9" s="160">
        <f>'תחזית מכירות'!$G$77</f>
        <v/>
      </c>
      <c r="K9" s="160">
        <f>'תחזית מכירות'!$G$78</f>
        <v/>
      </c>
      <c r="L9" s="160">
        <f>'תחזית מכירות'!$G$79</f>
        <v/>
      </c>
      <c r="M9" s="160">
        <f>'תחזית מכירות'!$G$80</f>
        <v/>
      </c>
    </row>
    <row r="10">
      <c r="A10" s="161" t="inlineStr">
        <is>
          <t>– עלות ייצור (עלות המכר)</t>
        </is>
      </c>
      <c r="B10" s="162">
        <f>'תחזית מכירות'!$H$25</f>
        <v/>
      </c>
      <c r="C10" s="162">
        <f>'תחזית מכירות'!$H$26</f>
        <v/>
      </c>
      <c r="D10" s="162">
        <f>'תחזית מכירות'!$H$27</f>
        <v/>
      </c>
      <c r="E10" s="162">
        <f>'תחזית מכירות'!$H$28</f>
        <v/>
      </c>
      <c r="F10" s="162">
        <f>'תחזית מכירות'!$H$51</f>
        <v/>
      </c>
      <c r="G10" s="162">
        <f>'תחזית מכירות'!$H$52</f>
        <v/>
      </c>
      <c r="H10" s="162">
        <f>'תחזית מכירות'!$H$53</f>
        <v/>
      </c>
      <c r="I10" s="162">
        <f>'תחזית מכירות'!$H$54</f>
        <v/>
      </c>
      <c r="J10" s="162">
        <f>'תחזית מכירות'!$H$77</f>
        <v/>
      </c>
      <c r="K10" s="162">
        <f>'תחזית מכירות'!$H$78</f>
        <v/>
      </c>
      <c r="L10" s="162">
        <f>'תחזית מכירות'!$H$79</f>
        <v/>
      </c>
      <c r="M10" s="162">
        <f>'תחזית מכירות'!$H$80</f>
        <v/>
      </c>
    </row>
    <row r="11">
      <c r="A11" s="34" t="inlineStr">
        <is>
          <t>► רווח גולמי</t>
        </is>
      </c>
      <c r="B11" s="163">
        <f>'תחזית מכירות'!$I$25</f>
        <v/>
      </c>
      <c r="C11" s="163">
        <f>'תחזית מכירות'!$I$26</f>
        <v/>
      </c>
      <c r="D11" s="163">
        <f>'תחזית מכירות'!$I$27</f>
        <v/>
      </c>
      <c r="E11" s="163">
        <f>'תחזית מכירות'!$I$28</f>
        <v/>
      </c>
      <c r="F11" s="163">
        <f>'תחזית מכירות'!$I$51</f>
        <v/>
      </c>
      <c r="G11" s="163">
        <f>'תחזית מכירות'!$I$52</f>
        <v/>
      </c>
      <c r="H11" s="163">
        <f>'תחזית מכירות'!$I$53</f>
        <v/>
      </c>
      <c r="I11" s="163">
        <f>'תחזית מכירות'!$I$54</f>
        <v/>
      </c>
      <c r="J11" s="163">
        <f>'תחזית מכירות'!$I$77</f>
        <v/>
      </c>
      <c r="K11" s="163">
        <f>'תחזית מכירות'!$I$78</f>
        <v/>
      </c>
      <c r="L11" s="163">
        <f>'תחזית מכירות'!$I$79</f>
        <v/>
      </c>
      <c r="M11" s="163">
        <f>'תחזית מכירות'!$I$80</f>
        <v/>
      </c>
    </row>
    <row r="12">
      <c r="A12" s="63" t="inlineStr">
        <is>
          <t>שיעור רווח גולמי %</t>
        </is>
      </c>
      <c r="B12" s="164">
        <f>IFERROR('תחזית מכירות'!$I$25/'תחזית מכירות'!$E$25,0)</f>
        <v/>
      </c>
      <c r="C12" s="164">
        <f>IFERROR('תחזית מכירות'!$I$26/'תחזית מכירות'!$E$26,0)</f>
        <v/>
      </c>
      <c r="D12" s="164">
        <f>IFERROR('תחזית מכירות'!$I$27/'תחזית מכירות'!$E$27,0)</f>
        <v/>
      </c>
      <c r="E12" s="164">
        <f>IFERROR('תחזית מכירות'!$I$28/'תחזית מכירות'!$E$28,0)</f>
        <v/>
      </c>
      <c r="F12" s="164">
        <f>IFERROR('תחזית מכירות'!$I$51/'תחזית מכירות'!$E$51,0)</f>
        <v/>
      </c>
      <c r="G12" s="164">
        <f>IFERROR('תחזית מכירות'!$I$52/'תחזית מכירות'!$E$52,0)</f>
        <v/>
      </c>
      <c r="H12" s="164">
        <f>IFERROR('תחזית מכירות'!$I$53/'תחזית מכירות'!$E$53,0)</f>
        <v/>
      </c>
      <c r="I12" s="164">
        <f>IFERROR('תחזית מכירות'!$I$54/'תחזית מכירות'!$E$54,0)</f>
        <v/>
      </c>
      <c r="J12" s="164">
        <f>IFERROR('תחזית מכירות'!$I$77/'תחזית מכירות'!$E$77,0)</f>
        <v/>
      </c>
      <c r="K12" s="164">
        <f>IFERROR('תחזית מכירות'!$I$78/'תחזית מכירות'!$E$78,0)</f>
        <v/>
      </c>
      <c r="L12" s="164">
        <f>IFERROR('תחזית מכירות'!$I$79/'תחזית מכירות'!$E$79,0)</f>
        <v/>
      </c>
      <c r="M12" s="164">
        <f>IFERROR('תחזית מכירות'!$I$80/'תחזית מכירות'!$E$80,0)</f>
        <v/>
      </c>
    </row>
    <row r="13">
      <c r="A13" s="165" t="inlineStr">
        <is>
          <t>יחידות שנמכרו</t>
        </is>
      </c>
      <c r="B13" s="166">
        <f>'תחזית מכירות'!$D$25</f>
        <v/>
      </c>
      <c r="C13" s="166">
        <f>'תחזית מכירות'!$D$26</f>
        <v/>
      </c>
      <c r="D13" s="166">
        <f>'תחזית מכירות'!$D$27</f>
        <v/>
      </c>
      <c r="E13" s="166">
        <f>'תחזית מכירות'!$D$28</f>
        <v/>
      </c>
      <c r="F13" s="166">
        <f>'תחזית מכירות'!$D$51</f>
        <v/>
      </c>
      <c r="G13" s="166">
        <f>'תחזית מכירות'!$D$52</f>
        <v/>
      </c>
      <c r="H13" s="166">
        <f>'תחזית מכירות'!$D$53</f>
        <v/>
      </c>
      <c r="I13" s="166">
        <f>'תחזית מכירות'!$D$54</f>
        <v/>
      </c>
      <c r="J13" s="166">
        <f>'תחזית מכירות'!$D$77</f>
        <v/>
      </c>
      <c r="K13" s="166">
        <f>'תחזית מכירות'!$D$78</f>
        <v/>
      </c>
      <c r="L13" s="166">
        <f>'תחזית מכירות'!$D$79</f>
        <v/>
      </c>
      <c r="M13" s="166">
        <f>'תחזית מכירות'!$D$80</f>
        <v/>
      </c>
    </row>
    <row r="14">
      <c r="A14" s="158" t="inlineStr">
        <is>
          <t>הכנסות B2C חודשיות (לעיון)</t>
        </is>
      </c>
      <c r="B14" s="159">
        <f>'תחזית מכירות'!$C$25</f>
        <v/>
      </c>
      <c r="C14" s="159">
        <f>'תחזית מכירות'!$C$26</f>
        <v/>
      </c>
      <c r="D14" s="159">
        <f>'תחזית מכירות'!$C$27</f>
        <v/>
      </c>
      <c r="E14" s="159">
        <f>'תחזית מכירות'!$C$28</f>
        <v/>
      </c>
      <c r="F14" s="159">
        <f>'תחזית מכירות'!$C$51</f>
        <v/>
      </c>
      <c r="G14" s="159">
        <f>'תחזית מכירות'!$C$52</f>
        <v/>
      </c>
      <c r="H14" s="159">
        <f>'תחזית מכירות'!$C$53</f>
        <v/>
      </c>
      <c r="I14" s="159">
        <f>'תחזית מכירות'!$C$54</f>
        <v/>
      </c>
      <c r="J14" s="159">
        <f>'תחזית מכירות'!$C$77</f>
        <v/>
      </c>
      <c r="K14" s="159">
        <f>'תחזית מכירות'!$C$78</f>
        <v/>
      </c>
      <c r="L14" s="159">
        <f>'תחזית מכירות'!$C$79</f>
        <v/>
      </c>
      <c r="M14" s="159">
        <f>'תחזית מכירות'!$C$80</f>
        <v/>
      </c>
    </row>
    <row r="16">
      <c r="A16" s="3" t="inlineStr">
        <is>
          <t>פירוט כלכלת יחידה  (ליחידה — מהנחות, זהה בכל התקופות)</t>
        </is>
      </c>
    </row>
    <row r="17">
      <c r="A17" s="156" t="inlineStr">
        <is>
          <t>מחיר B2B ליחידה</t>
        </is>
      </c>
      <c r="B17" s="167">
        <f>הנחות!$B$15</f>
        <v/>
      </c>
      <c r="C17" s="54" t="inlineStr">
        <is>
          <t>מחיר חשבונית B2B מומלץ  —  הנחות B15</t>
        </is>
      </c>
    </row>
    <row r="18">
      <c r="A18" s="158" t="inlineStr">
        <is>
          <t>– עמלת מעיין ליחידה</t>
        </is>
      </c>
      <c r="B18" s="168">
        <f>הנחות!$B$15*הנחות!$B$14</f>
        <v/>
      </c>
      <c r="C18" s="53" t="inlineStr">
        <is>
          <t>B2B × שיעור עמלה</t>
        </is>
      </c>
    </row>
    <row r="19">
      <c r="A19" s="169" t="inlineStr">
        <is>
          <t>► הכנסות נטו ליחידה  (ל-Raito)</t>
        </is>
      </c>
      <c r="B19" s="170">
        <f>הנחות!$B$15*(1-הנחות!$B$14)</f>
        <v/>
      </c>
      <c r="C19" s="54" t="inlineStr">
        <is>
          <t>B2B × (1 − עמלה)</t>
        </is>
      </c>
    </row>
    <row r="20">
      <c r="A20" s="161" t="inlineStr">
        <is>
          <t>– עלות ייצור ליחידה  (150 גרם)</t>
        </is>
      </c>
      <c r="B20" s="55">
        <f>הנחות!$B$7</f>
        <v/>
      </c>
      <c r="C20" s="53" t="inlineStr">
        <is>
          <t>₪3.70 × 1.5 = ₪5.55  —  הנחות B7</t>
        </is>
      </c>
    </row>
    <row r="21">
      <c r="A21" s="60" t="inlineStr">
        <is>
          <t>► רווח גולמי ליחידה</t>
        </is>
      </c>
      <c r="B21" s="171">
        <f>הנחות!$B$15*(1-הנחות!$B$14)-הנחות!$B$7</f>
        <v/>
      </c>
      <c r="C21" s="54" t="inlineStr">
        <is>
          <t>הכנסות נטו פחות עלות ייצור</t>
        </is>
      </c>
    </row>
    <row r="22">
      <c r="A22" s="63" t="inlineStr">
        <is>
          <t>שיעור רווח גולמי %  (ליחידה)</t>
        </is>
      </c>
      <c r="B22" s="172">
        <f>IFERROR((הנחות!$B$15*(1-הנחות!$B$14)-הנחות!$B$7)/הנחות!$B$15,0)</f>
        <v/>
      </c>
      <c r="C22" s="53" t="inlineStr">
        <is>
          <t>GP ÷ מחיר B2B</t>
        </is>
      </c>
    </row>
  </sheetData>
  <mergeCells count="13">
    <mergeCell ref="J5:M5"/>
    <mergeCell ref="A2:I2"/>
    <mergeCell ref="C20:M20"/>
    <mergeCell ref="C21:M21"/>
    <mergeCell ref="C22:M22"/>
    <mergeCell ref="A1:I1"/>
    <mergeCell ref="C19:M19"/>
    <mergeCell ref="B5:E5"/>
    <mergeCell ref="F5:I5"/>
    <mergeCell ref="A4:I4"/>
    <mergeCell ref="A16:M16"/>
    <mergeCell ref="C18:M18"/>
    <mergeCell ref="C17:M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2026-04-16T07:39:30Z</dcterms:created>
  <dcterms:modified xmlns:dcterms="http://purl.org/dc/terms/" xmlns:xsi="http://www.w3.org/2001/XMLSchema-instance" xsi:type="dcterms:W3CDTF">2026-04-16T07:39:31Z</dcterms:modified>
</cp:coreProperties>
</file>