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יכום ניהולי" sheetId="1" state="visible" r:id="rId3"/>
    <sheet name="הנחות" sheetId="2" state="visible" r:id="rId4"/>
    <sheet name="מודיעין שוק" sheetId="3" state="visible" r:id="rId5"/>
    <sheet name="כלכלת יחידה" sheetId="4" state="visible" r:id="rId6"/>
    <sheet name="תחזית 150 גרם" sheetId="5" state="visible" r:id="rId7"/>
    <sheet name="תחזית 3x100 גרם" sheetId="6" state="visible" r:id="rId8"/>
    <sheet name="תחזית 100 גרם" sheetId="7" state="visible" r:id="rId9"/>
    <sheet name="רווח והפסד" sheetId="8" state="visible" r:id="rId10"/>
    <sheet name="השוואה" sheetId="9" state="visible" r:id="rId11"/>
    <sheet name="תקציב שיווק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<sst xmlns="http://schemas.openxmlformats.org/spreadsheetml/2006/main" count="927" uniqueCount="488">
  <si>
    <t xml:space="preserve">AHLAN — השוואת 3 פורמטים  |  סיכום ניהולי</t>
  </si>
  <si>
    <t xml:space="preserve">תקופה: ספטמבר 2026 → אוגוסט 2028  ·  24 חודשים  ·  עלות ייצור ₪3.87/100g  ·  תקציב שיווק ₪500K–₪1M, 50/50 Raito/Ma Kashur</t>
  </si>
  <si>
    <t xml:space="preserve">החלטות מהפגישה עם CEO + Ma Kashur</t>
  </si>
  <si>
    <t xml:space="preserve">בחירת פורמט</t>
  </si>
  <si>
    <t xml:space="preserve">בוחנים 3 פורמטים במקביל כל אחד כמקרה עצמאי: 150g (קיים), 3×100g (מארז חדש), 100g (יחידה חדשה)</t>
  </si>
  <si>
    <t xml:space="preserve">עלות ייצור</t>
  </si>
  <si>
    <t xml:space="preserve">₪3.87 ל-100 גרם — מתכלל על כל הפורמטים (150g=₪5.805, 3×100g=₪11.61, 100g=₪3.87)</t>
  </si>
  <si>
    <t xml:space="preserve">לוח זמנים</t>
  </si>
  <si>
    <t xml:space="preserve">ספטמבר 2026 → אוגוסט 2028 — 24 חודשים, שלושה שלבים: השקה (M1-6), הרחבה (M7-18), בגרות (M19-24)</t>
  </si>
  <si>
    <t xml:space="preserve">שיווק</t>
  </si>
  <si>
    <t xml:space="preserve">תקציב כולל ₪500K–₪1M — 50/50 Raito / Ma Kashur. אסטרטגיה: אורגני דרך Ma Kashur (משפיענים, תוכן), לא מס מדיה</t>
  </si>
  <si>
    <t xml:space="preserve">תמחור</t>
  </si>
  <si>
    <t xml:space="preserve">נגזר מ-benchmarks של CHP (94 רשתות) ו-Store Next (פאנל קמעונאות מאורגנת)</t>
  </si>
  <si>
    <t xml:space="preserve">מדדי הצלחה</t>
  </si>
  <si>
    <t xml:space="preserve">לכל פורמט מוגדר יעד נתח שוק מגזרי ייחודי לפי דינמיקת הסגמנט</t>
  </si>
  <si>
    <t xml:space="preserve">תוצאות כלכליות להשוואה — שנה 1 (ספט 2026 → אוג 2027)</t>
  </si>
  <si>
    <t xml:space="preserve">פורמט</t>
  </si>
  <si>
    <t xml:space="preserve">מחיר B2B</t>
  </si>
  <si>
    <t xml:space="preserve">מחיר מדף (פרטי)</t>
  </si>
  <si>
    <t xml:space="preserve">הכנסות B2B (Raito)</t>
  </si>
  <si>
    <t xml:space="preserve">יחידות</t>
  </si>
  <si>
    <t xml:space="preserve">רווח גולמי</t>
  </si>
  <si>
    <t xml:space="preserve">% מרווח גולמי</t>
  </si>
  <si>
    <t xml:space="preserve">EBITDA (אחרי שיווק)</t>
  </si>
  <si>
    <t xml:space="preserve">150 גרם (קיים)</t>
  </si>
  <si>
    <t xml:space="preserve">3×100 גרם (חדש)</t>
  </si>
  <si>
    <t xml:space="preserve">100 גרם (חדש)</t>
  </si>
  <si>
    <t xml:space="preserve">תוצאות כלכליות להשוואה — שנה 2 (ספט 2027 → אוג 2028)</t>
  </si>
  <si>
    <t xml:space="preserve">הכנסות B2B שנה 2</t>
  </si>
  <si>
    <t xml:space="preserve">יחידות שנה 2</t>
  </si>
  <si>
    <t xml:space="preserve">צמיחה מול שנה 1</t>
  </si>
  <si>
    <t xml:space="preserve">רווח גולמי שנה 2</t>
  </si>
  <si>
    <t xml:space="preserve">EBITDA שנה 2</t>
  </si>
  <si>
    <t xml:space="preserve">סה״כ הכנסות 2 שנים</t>
  </si>
  <si>
    <t xml:space="preserve">סה״כ EBITDA 2 שנים</t>
  </si>
  <si>
    <t xml:space="preserve">150 גרם</t>
  </si>
  <si>
    <t xml:space="preserve">3×100 גרם</t>
  </si>
  <si>
    <t xml:space="preserve">100 גרם</t>
  </si>
  <si>
    <t xml:space="preserve">המלצה ניהולית</t>
  </si>
  <si>
    <t xml:space="preserve">המלצתנו: להשיק את ה-150g כפורמט הדגל (white space לפי CHP עם 8/94 רשתות בלבד, וצמיחה של +113% ב-Store Next). להוסיף את ה-3×100g במקביל כמארז משפחה/ערך (רוכב על הטרנד הגדל של מארזי 98×3 ו-4×115g ב-Store Next). לדחות את ה-100g לשלב 2 — הסגמנט הגדול אבל בלחץ תחרותי מ-Elite 70% נוכחות רשתות ובמגמת ירידה. תקציב שיווק ₪750K (נקודת האמצע) מאוזן בין היקף לבין יכולת Ma Kashur לייצר נוכחות אורגנית דרך משפיענים ותוכן.</t>
  </si>
  <si>
    <t xml:space="preserve">הנחות המודל — 3 פורמטים  |  כל התאים הכחולים ניתנים לעריכה</t>
  </si>
  <si>
    <t xml:space="preserve">כל חישוב בגיליונות האחרים קושר לתאים כאן  ·  שינוי ערך = חישוב מחדש של כל המודל</t>
  </si>
  <si>
    <t xml:space="preserve">A. עלויות ייצור  (₪3.87 ל-100 גרם — מאושר)</t>
  </si>
  <si>
    <t xml:space="preserve">פריט</t>
  </si>
  <si>
    <t xml:space="preserve">ערך</t>
  </si>
  <si>
    <t xml:space="preserve">יחידה</t>
  </si>
  <si>
    <t xml:space="preserve">הערות</t>
  </si>
  <si>
    <t xml:space="preserve">עלות ייצור ל-100 גרם (בסיס)</t>
  </si>
  <si>
    <t xml:space="preserve">₪/100g</t>
  </si>
  <si>
    <t xml:space="preserve">החלטה מאושרת — החליף ₪3.70 הקודם</t>
  </si>
  <si>
    <t xml:space="preserve">עלות ייצור ל-150 גרם</t>
  </si>
  <si>
    <t xml:space="preserve">₪/150g</t>
  </si>
  <si>
    <t xml:space="preserve">נוסחה: עלות 100g × 1.5 = ₪5.805</t>
  </si>
  <si>
    <t xml:space="preserve">עלות ייצור למארז 3×100 גרם</t>
  </si>
  <si>
    <t xml:space="preserve">₪/מארז</t>
  </si>
  <si>
    <t xml:space="preserve">נוסחה: עלות 100g × 3 = ₪11.61 (ללא עלות אריזת מארז נוספת)</t>
  </si>
  <si>
    <t xml:space="preserve">עלות ייצור ל-100 גרם (יחידה)</t>
  </si>
  <si>
    <t xml:space="preserve">₪/יחידה</t>
  </si>
  <si>
    <t xml:space="preserve">זהה לעלות הבסיס</t>
  </si>
  <si>
    <t xml:space="preserve">B. תמחור וערוצים</t>
  </si>
  <si>
    <t xml:space="preserve">מע״מ בישראל</t>
  </si>
  <si>
    <t xml:space="preserve">%</t>
  </si>
  <si>
    <t xml:space="preserve">תקן 2026</t>
  </si>
  <si>
    <t xml:space="preserve">מרווח קמעונאי — רשתות מאורגנות (שופרסל, יינות ביתן, רמי לוי)</t>
  </si>
  <si>
    <t xml:space="preserve">מרווח ברשתות מאורגנות</t>
  </si>
  <si>
    <t xml:space="preserve">מרווח קמעונאי — שוק פרטי / ערוץ מעיין</t>
  </si>
  <si>
    <t xml:space="preserve">חנויות עצמאיות, מינימרקטים, שוק</t>
  </si>
  <si>
    <t xml:space="preserve">עמלת הפצה מעיין</t>
  </si>
  <si>
    <t xml:space="preserve">טווח 15–25% — 18% בסיס</t>
  </si>
  <si>
    <t xml:space="preserve">C. גודל שוק  |  מקור: CHP 03/2026 + Store Next + דוחות תעשייה ישראליים</t>
  </si>
  <si>
    <t xml:space="preserve">שוק קפה שחור כולל — ישראל (B2C שנתי)</t>
  </si>
  <si>
    <t xml:space="preserve">₪/year</t>
  </si>
  <si>
    <t xml:space="preserve">מקור: כלכליסט 03/2025 — שטראוס/Elite ≥80% נתח</t>
  </si>
  <si>
    <t xml:space="preserve">סגמנט קפה טורקי — ישראל (B2C שנתי)</t>
  </si>
  <si>
    <t xml:space="preserve">מקור: מחקר תעשייה — כ-40% משוק הקפה; במגזר הערבי 76% העדפה</t>
  </si>
  <si>
    <t xml:space="preserve">מכפיל פאנל Store Next — נמוך</t>
  </si>
  <si>
    <t xml:space="preserve">×</t>
  </si>
  <si>
    <t xml:space="preserve">Store Next מכסה רק רשתות מאורגנות; שוק פרטי × 15</t>
  </si>
  <si>
    <t xml:space="preserve">מכפיל פאנל Store Next — גבוה</t>
  </si>
  <si>
    <t xml:space="preserve">גבול עליון — אימות</t>
  </si>
  <si>
    <t xml:space="preserve">D. מקדמי תרחיש  (חלים על נתח השוק בכל הפורמטים)</t>
  </si>
  <si>
    <t xml:space="preserve">תרחיש</t>
  </si>
  <si>
    <t xml:space="preserve">מקדם</t>
  </si>
  <si>
    <t xml:space="preserve">נתח שיא</t>
  </si>
  <si>
    <t xml:space="preserve">תיאור</t>
  </si>
  <si>
    <t xml:space="preserve">שמרני</t>
  </si>
  <si>
    <t xml:space="preserve">70% מיעד</t>
  </si>
  <si>
    <t xml:space="preserve">שיווק מתחת לציפיות; עדיין חזק ללא סלבריטי</t>
  </si>
  <si>
    <t xml:space="preserve">בסיס</t>
  </si>
  <si>
    <t xml:space="preserve">100% מיעד</t>
  </si>
  <si>
    <t xml:space="preserve">לפי תוכנית; Ma Kashur מספק כמתוכנן</t>
  </si>
  <si>
    <t xml:space="preserve">אופטימי</t>
  </si>
  <si>
    <t xml:space="preserve">130% מיעד</t>
  </si>
  <si>
    <t xml:space="preserve">אימוץ ויראלי; תוכן Ma Kashur פורץ דרך</t>
  </si>
  <si>
    <t xml:space="preserve">E. תקציב שיווק  (משותף ל-3 הפורמטים)</t>
  </si>
  <si>
    <t xml:space="preserve">סה״כ תקציב שיווק (24 חודשים)</t>
  </si>
  <si>
    <t xml:space="preserve">₪</t>
  </si>
  <si>
    <t xml:space="preserve">בסיס — טווח ₪500K–₪1M. שנה את הערך לבדיקת רגישות</t>
  </si>
  <si>
    <t xml:space="preserve">חלק Raito</t>
  </si>
  <si>
    <t xml:space="preserve">Raito מממנת 50% מהתקציב</t>
  </si>
  <si>
    <t xml:space="preserve">חלק Ma Kashur</t>
  </si>
  <si>
    <t xml:space="preserve">Ma Kashur מממנת 50% מהתקציב (שותפות שוות)</t>
  </si>
  <si>
    <t xml:space="preserve">תרומת Raito ב-₪</t>
  </si>
  <si>
    <t xml:space="preserve">נוסחה: סה״כ × חלק Raito</t>
  </si>
  <si>
    <t xml:space="preserve">תרומת Ma Kashur ב-₪</t>
  </si>
  <si>
    <t xml:space="preserve">נוסחה: סה״כ × חלק Ma Kashur</t>
  </si>
  <si>
    <t xml:space="preserve">F. פרמטרים ספציפיים לפורמט  —  מחיר B2B ויעדי נתח שוק</t>
  </si>
  <si>
    <t xml:space="preserve">פרמטר</t>
  </si>
  <si>
    <t xml:space="preserve">הערות / מקור benchmark</t>
  </si>
  <si>
    <t xml:space="preserve">פורמט 150g — קיים</t>
  </si>
  <si>
    <t xml:space="preserve">Benchmark CHP: Elite 150g ₪13.14 avg | 8/94 רשתות | White space. Store Next: +113% הכנסות 2024→2025, +52% שינוי נתח YTD</t>
  </si>
  <si>
    <t xml:space="preserve">מחיר B2B ל-150g</t>
  </si>
  <si>
    <t xml:space="preserve">₪/unit</t>
  </si>
  <si>
    <t xml:space="preserve">יעד: מחיר מדף ~₪12.90 בשוק פרטי (20% ret), זול מ-Elite ₪13.14</t>
  </si>
  <si>
    <t xml:space="preserve">יעד נתח שוק 150g — M12 (בסיס)</t>
  </si>
  <si>
    <t xml:space="preserve">חודש 12 (אוג 2027) — אגרסיבי בגלל white space בסגמנט</t>
  </si>
  <si>
    <t xml:space="preserve">יעד נתח שוק 150g — M24 (בסיס)</t>
  </si>
  <si>
    <t xml:space="preserve">חודש 24 (אוג 2028) — בגרות</t>
  </si>
  <si>
    <t xml:space="preserve">פורמט 3×100g — חדש</t>
  </si>
  <si>
    <t xml:space="preserve">Benchmark CHP: Elite 3×85g ₪24.46 avg | 51/94 רשתות (54%). Store Next: 98×3 + 4×115g growing rapidly (new formats); 3×85g declining</t>
  </si>
  <si>
    <t xml:space="preserve">מחיר B2B למארז 3×100g</t>
  </si>
  <si>
    <t xml:space="preserve">יעד: מחיר מדף ~₪27.90 במארז (20% ret) — ~ערך של 100g ב-₪9.30 — משמעותית זול מ-Elite 100g ₪11.53</t>
  </si>
  <si>
    <t xml:space="preserve">יעד נתח שוק 3×100g — M12</t>
  </si>
  <si>
    <t xml:space="preserve">4% — הסגמנט קטן יותר, יעד מתון</t>
  </si>
  <si>
    <t xml:space="preserve">יעד נתח שוק 3×100g — M24</t>
  </si>
  <si>
    <t xml:space="preserve">7% בגרות — הצמיחה בסגמנט תומכת</t>
  </si>
  <si>
    <t xml:space="preserve">פורמט 100g — חדש</t>
  </si>
  <si>
    <t xml:space="preserve">Benchmark CHP: Elite 100g ₪11.53 avg | 66/94 רשתות (70% — דומיננטי). Store Next: share יציב ~7%, מעט ירידה (-3.7% YTD)</t>
  </si>
  <si>
    <t xml:space="preserve">מחיר B2B ל-100g</t>
  </si>
  <si>
    <t xml:space="preserve">יעד: מחיר מדף ~₪9.60 (20% ret) — ~17% זול מ-Elite ₪11.53</t>
  </si>
  <si>
    <t xml:space="preserve">יעד נתח שוק 100g — M12</t>
  </si>
  <si>
    <t xml:space="preserve">6% — תחרות אגרסיבית מ-Elite ב-70% רשתות</t>
  </si>
  <si>
    <t xml:space="preserve">יעד נתח שוק 100g — M24</t>
  </si>
  <si>
    <t xml:space="preserve">9% בגרות</t>
  </si>
  <si>
    <t xml:space="preserve">מודיעין שוק  |  CHP (94 רשתות, 03/2026) + Store Next (פאנל קמעונאות מאורגנת)</t>
  </si>
  <si>
    <t xml:space="preserve">Benchmarks ממקורות אובייקטיביים ישראליים  ·  מהווים את הבסיס להערכת ה-benchmarks ויעדי הנתח</t>
  </si>
  <si>
    <t xml:space="preserve">A. CHP — השוואת מחירים בין 94 רשתות  |  SKUs של Elite</t>
  </si>
  <si>
    <t xml:space="preserve">SKU</t>
  </si>
  <si>
    <t xml:space="preserve">מחיר ממוצע (₪)</t>
  </si>
  <si>
    <t xml:space="preserve">חציון (₪)</t>
  </si>
  <si>
    <t xml:space="preserve">טווח מחירים</t>
  </si>
  <si>
    <t xml:space="preserve">רשתות נוכחות</t>
  </si>
  <si>
    <t xml:space="preserve">% רשתות</t>
  </si>
  <si>
    <t xml:space="preserve">עלות / 100g</t>
  </si>
  <si>
    <t xml:space="preserve">Elite 100g (דומיננטי)</t>
  </si>
  <si>
    <t xml:space="preserve">₪5.90 – ₪14.90</t>
  </si>
  <si>
    <t xml:space="preserve">66/94</t>
  </si>
  <si>
    <t xml:space="preserve">Elite 150g (white space)</t>
  </si>
  <si>
    <t xml:space="preserve">₪12.10 – ₪14.90</t>
  </si>
  <si>
    <t xml:space="preserve">8/94</t>
  </si>
  <si>
    <t xml:space="preserve">Elite 200g</t>
  </si>
  <si>
    <t xml:space="preserve">₪14.90 – ₪23.50</t>
  </si>
  <si>
    <t xml:space="preserve">72/94</t>
  </si>
  <si>
    <t xml:space="preserve">Elite 85g</t>
  </si>
  <si>
    <t xml:space="preserve">₪8.20 – ₪9.90</t>
  </si>
  <si>
    <t xml:space="preserve">6/94</t>
  </si>
  <si>
    <t xml:space="preserve">Elite 3×85g (multi)</t>
  </si>
  <si>
    <t xml:space="preserve">₪19.90 – ₪32.90</t>
  </si>
  <si>
    <t xml:space="preserve">51/94</t>
  </si>
  <si>
    <t xml:space="preserve">Elite 7×24g on-the-go</t>
  </si>
  <si>
    <t xml:space="preserve">₪14.90 – ₪27.90</t>
  </si>
  <si>
    <t xml:space="preserve">75/94</t>
  </si>
  <si>
    <t xml:space="preserve">B. Store Next — פאנל קמעונאות מאורגנת  |  מכירות ונתחי שוק</t>
  </si>
  <si>
    <t xml:space="preserve">מכירות 2024 (K)</t>
  </si>
  <si>
    <t xml:space="preserve">מכירות 2025 (K)</t>
  </si>
  <si>
    <t xml:space="preserve">מגמה</t>
  </si>
  <si>
    <t xml:space="preserve">נתח 2024</t>
  </si>
  <si>
    <t xml:space="preserve">נתח 2025</t>
  </si>
  <si>
    <t xml:space="preserve">שינוי נתח YTD</t>
  </si>
  <si>
    <t xml:space="preserve">Elite 100g</t>
  </si>
  <si>
    <t xml:space="preserve">יציב-יורד</t>
  </si>
  <si>
    <t xml:space="preserve">Elite 150g (שקית)</t>
  </si>
  <si>
    <t xml:space="preserve">+113% צמיחה</t>
  </si>
  <si>
    <t xml:space="preserve">יורד</t>
  </si>
  <si>
    <t xml:space="preserve">—</t>
  </si>
  <si>
    <t xml:space="preserve">Elite 168g (on-the-go)</t>
  </si>
  <si>
    <t xml:space="preserve">צומח</t>
  </si>
  <si>
    <t xml:space="preserve">Elite 4×100g (multi)</t>
  </si>
  <si>
    <t xml:space="preserve">Elite 3×125g (multi)</t>
  </si>
  <si>
    <t xml:space="preserve">Elite 98×3 גדל (multi)</t>
  </si>
  <si>
    <t xml:space="preserve">חדש — מתפוצץ</t>
  </si>
  <si>
    <t xml:space="preserve">Elite 4×115g (חדש)</t>
  </si>
  <si>
    <t xml:space="preserve">חדש</t>
  </si>
  <si>
    <t xml:space="preserve">C. מקורות שוק ישראליים — נתוני תעשייה</t>
  </si>
  <si>
    <t xml:space="preserve">שוק קפה כולל ישראל</t>
  </si>
  <si>
    <t xml:space="preserve">~₪1.5B שנתי</t>
  </si>
  <si>
    <t xml:space="preserve">כלכליסט (03/2025), שטראוס מסכמת 2024</t>
  </si>
  <si>
    <t xml:space="preserve">שוק קפה שחור (רטיל)</t>
  </si>
  <si>
    <t xml:space="preserve">~₪830M שנתי</t>
  </si>
  <si>
    <t xml:space="preserve">כלכליסט — העלאות מחירים הובילו לצמיחת 4.7% ב-2024</t>
  </si>
  <si>
    <t xml:space="preserve">סגמנט קפה טורקי</t>
  </si>
  <si>
    <t xml:space="preserve">~₪400M שנתי</t>
  </si>
  <si>
    <t xml:space="preserve">מחקר — ~40% משוק הקפה השחור</t>
  </si>
  <si>
    <t xml:space="preserve">העדפת קפה טורקי במגזר ערבי</t>
  </si>
  <si>
    <t xml:space="preserve">76%</t>
  </si>
  <si>
    <t xml:space="preserve">מחקר שוק — קפה טורקי = המוצר המוביל</t>
  </si>
  <si>
    <t xml:space="preserve">צריכת קפה בישראל</t>
  </si>
  <si>
    <t xml:space="preserve">6.57 kg לנפש (2021)</t>
  </si>
  <si>
    <t xml:space="preserve">מקור: נתונים כלל-תעשייתיים</t>
  </si>
  <si>
    <t xml:space="preserve">נתח Elite/שטראוס בקפה שחור</t>
  </si>
  <si>
    <t xml:space="preserve">80%+</t>
  </si>
  <si>
    <t xml:space="preserve">כלכליסט — נתח שטראוס בסגמנט</t>
  </si>
  <si>
    <t xml:space="preserve">פורמט 100g = הפופולרי</t>
  </si>
  <si>
    <t xml:space="preserve">~80% משקי בית</t>
  </si>
  <si>
    <t xml:space="preserve">סקר פנימי של Elite / ynet</t>
  </si>
  <si>
    <t xml:space="preserve">השקה תחרות לטורקי</t>
  </si>
  <si>
    <t xml:space="preserve">Asala של Elite</t>
  </si>
  <si>
    <t xml:space="preserve">ice.co.il — קמפיין ייעודי למגזר הערבי $1M</t>
  </si>
  <si>
    <t xml:space="preserve">D. מסקנות מהבנצ'מרקים — השפעה על יעדי הפורמטים</t>
  </si>
  <si>
    <t xml:space="preserve">150g — White Space</t>
  </si>
  <si>
    <t xml:space="preserve">Elite ב-8/94 רשתות בלבד (8.5%). Store Next: +113% צמיחת הכנסות ו-+52% שינוי נתח YTD. הפורמט הכי חלש בהפצה כיום, אבל בצמיחה המהירה ביותר — עבור AHLAN הזדמנות לבעלות על סגמנט צומח ללא תחרות מבוססת</t>
  </si>
  <si>
    <t xml:space="preserve">3×100g — מארז בצמיחה</t>
  </si>
  <si>
    <t xml:space="preserve">Elite 3×85g ב-51/94 רשתות (54%). Store Next: מארזי 3×85g ו-4×100g בירידה, אבל מארזי 98×3 (כ-3×100g) ו-4×115g חדשים ובצמיחה מתפוצצת. התזמון מושלם להשיק מארז 3×100g — הצרכן כבר מכיר את המבנה, התמחור לפר-100g מייצר ערך</t>
  </si>
  <si>
    <t xml:space="preserve">100g — דומיננטי אבל תחרותי</t>
  </si>
  <si>
    <t xml:space="preserve">Elite ב-66/94 רשתות (70%) — הכי רחב. Store Next: נתח יציב ~7%, אבל בירידה של -3.7% YTD. הסגמנט הגדול ביותר אבל בלחץ תחרותי עז מ-Elite — חדירה אפשרית אבל דורשת יתרון מחיר או ערך משמעותי</t>
  </si>
  <si>
    <t xml:space="preserve">כלכלת יחידה — השוואת 3 פורמטים ביחידה אחת</t>
  </si>
  <si>
    <t xml:space="preserve">מחיר B2B ← עלות ייצור ← מרווח גולמי  |  כל השדות מקושרים להנחות — שנה שם לחישוב מחדש</t>
  </si>
  <si>
    <t xml:space="preserve">A. שרשרת תמחור — ערוץ שוק פרטי (מעיין) 20% מרווח קמעונאי</t>
  </si>
  <si>
    <t xml:space="preserve">סעיף</t>
  </si>
  <si>
    <t xml:space="preserve">150g (יחידה)</t>
  </si>
  <si>
    <t xml:space="preserve">3×100g (מארז)</t>
  </si>
  <si>
    <t xml:space="preserve">100g (יחידה)</t>
  </si>
  <si>
    <t xml:space="preserve">מחיר B2B (חשבונית Raito)</t>
  </si>
  <si>
    <t xml:space="preserve">קלט מגיליון ההנחות</t>
  </si>
  <si>
    <t xml:space="preserve">עמלת מפיץ (מעיין)</t>
  </si>
  <si>
    <t xml:space="preserve">B2B × 18% עמלה</t>
  </si>
  <si>
    <t xml:space="preserve">הכנסות נטו ל-Raito</t>
  </si>
  <si>
    <t xml:space="preserve">B2B − עמלת מפיץ</t>
  </si>
  <si>
    <t xml:space="preserve">עלות ייצור (COGS)</t>
  </si>
  <si>
    <t xml:space="preserve">ישירות מההנחות — ₪3.87/100g</t>
  </si>
  <si>
    <t xml:space="preserve">רווח גולמי ליחידה</t>
  </si>
  <si>
    <t xml:space="preserve">הכנסות נטו − עלות ייצור</t>
  </si>
  <si>
    <t xml:space="preserve">מרווח גולמי % (GP ÷ B2B)</t>
  </si>
  <si>
    <t xml:space="preserve">GP ÷ מחיר B2B</t>
  </si>
  <si>
    <t xml:space="preserve">B. שרשרת מחיר → מדף B2C (ערוץ שוק פרטי 20% ret)</t>
  </si>
  <si>
    <t xml:space="preserve">מחיר מדף B2C — שוק פרטי (20% ret + 18% מע״מ)</t>
  </si>
  <si>
    <t xml:space="preserve">B2B ÷ (1-20%) × (1+18%)</t>
  </si>
  <si>
    <t xml:space="preserve">מחיר מדף ל-100g (נורמלי)</t>
  </si>
  <si>
    <t xml:space="preserve">מדף ÷ גרם-100 שווה-ערך</t>
  </si>
  <si>
    <t xml:space="preserve">C. השוואה לתחרות — Elite Benchmarks מ-CHP</t>
  </si>
  <si>
    <t xml:space="preserve">מדד</t>
  </si>
  <si>
    <t xml:space="preserve">150g</t>
  </si>
  <si>
    <t xml:space="preserve">3×100g</t>
  </si>
  <si>
    <t xml:space="preserve">100g</t>
  </si>
  <si>
    <t xml:space="preserve">Elite מחיר מדף ממוצע (CHP)</t>
  </si>
  <si>
    <t xml:space="preserve">CHP 03/2026; 3×100g scaled from 3×85g</t>
  </si>
  <si>
    <t xml:space="preserve">AHLAN vs Elite (הנחה)</t>
  </si>
  <si>
    <t xml:space="preserve">% הפרש של AHLAN מ-Elite (שלילי = זול יותר)</t>
  </si>
  <si>
    <t xml:space="preserve">D. רגישות מחיר B2B — חישוב רווח גולמי ליחידה בסימולציות</t>
  </si>
  <si>
    <t xml:space="preserve">פורמט 150g — רגישות למחיר B2B</t>
  </si>
  <si>
    <t xml:space="preserve">רווח גולמי ליחידה בסימולציות מחיר שונות (COGS=₪5.81, ואיחיל)</t>
  </si>
  <si>
    <t xml:space="preserve">הכנסות נטו</t>
  </si>
  <si>
    <t xml:space="preserve">GM%</t>
  </si>
  <si>
    <t xml:space="preserve">מדף B2C</t>
  </si>
  <si>
    <t xml:space="preserve">פורמט 3×100g — רגישות למחיר B2B</t>
  </si>
  <si>
    <t xml:space="preserve">רווח גולמי ליחידה בסימולציות מחיר שונות (COGS=₪11.61)</t>
  </si>
  <si>
    <t xml:space="preserve">פורמט 100g — רגישות למחיר B2B</t>
  </si>
  <si>
    <t xml:space="preserve">רווח גולמי ליחידה בסימולציות מחיר שונות (COGS=₪3.87)</t>
  </si>
  <si>
    <t xml:space="preserve">תחזית מכירות חודשית — פורמט 150g  ·  24 חודשים</t>
  </si>
  <si>
    <t xml:space="preserve">ספט 2026 → אוג 2028  ·  B2B ₪8.9 (הנחות)  ·  גודל שוק ₪400M טורקי (מ-תא C22)</t>
  </si>
  <si>
    <t xml:space="preserve">A. שלבי השקה (Phases) — הגדרת הנחות הרמפ</t>
  </si>
  <si>
    <t xml:space="preserve">שלב</t>
  </si>
  <si>
    <t xml:space="preserve">חודשים</t>
  </si>
  <si>
    <t xml:space="preserve">נתח יעד</t>
  </si>
  <si>
    <t xml:space="preserve">פעילות שיווק</t>
  </si>
  <si>
    <t xml:space="preserve">השקה (Launch)</t>
  </si>
  <si>
    <t xml:space="preserve">M1-M6</t>
  </si>
  <si>
    <t xml:space="preserve">0-70% מ-M12</t>
  </si>
  <si>
    <t xml:space="preserve">Ma Kashur content blitz, משפיענים, PR, דגימות</t>
  </si>
  <si>
    <t xml:space="preserve">בניית מודעות למותג, חשיפה של המוצר הערבי-ישראלי המקומי</t>
  </si>
  <si>
    <t xml:space="preserve">הרחבה (Expand)</t>
  </si>
  <si>
    <t xml:space="preserve">M7-M18</t>
  </si>
  <si>
    <t xml:space="preserve">70% → M24 target</t>
  </si>
  <si>
    <t xml:space="preserve">המשך תוכן, שיתופי פעולה, מבצעים עונתיים</t>
  </si>
  <si>
    <t xml:space="preserve">מיקוד על הרחבת הפצה לרשתות מאורגנות + צמיחה בשוק פרטי</t>
  </si>
  <si>
    <t xml:space="preserve">בגרות (Mature)</t>
  </si>
  <si>
    <t xml:space="preserve">M19-M24</t>
  </si>
  <si>
    <t xml:space="preserve">יעד M24 מושג</t>
  </si>
  <si>
    <t xml:space="preserve">תחזוקה, מוצרי-המשך (flavors, packaging)</t>
  </si>
  <si>
    <t xml:space="preserve">שמירה על נתח, אופטימיזציה של עלויות ומרווחים</t>
  </si>
  <si>
    <t xml:space="preserve">B. תחזית חודשית — שנה 1 (ספט 2026 → אוג 2027)  ·  פורמט 150g</t>
  </si>
  <si>
    <t xml:space="preserve">חודש</t>
  </si>
  <si>
    <t xml:space="preserve">M#</t>
  </si>
  <si>
    <t xml:space="preserve">נתח יעד %</t>
  </si>
  <si>
    <t xml:space="preserve">הכנסות B2B</t>
  </si>
  <si>
    <t xml:space="preserve">עמלת מפיץ</t>
  </si>
  <si>
    <t xml:space="preserve">נטו ל-Raito</t>
  </si>
  <si>
    <t xml:space="preserve">GM %</t>
  </si>
  <si>
    <t xml:space="preserve">ספט 2026</t>
  </si>
  <si>
    <t xml:space="preserve">השקה</t>
  </si>
  <si>
    <t xml:space="preserve">אוק 2026</t>
  </si>
  <si>
    <t xml:space="preserve">נוב 2026</t>
  </si>
  <si>
    <t xml:space="preserve">דצמ 2026</t>
  </si>
  <si>
    <t xml:space="preserve">ינו 2027</t>
  </si>
  <si>
    <t xml:space="preserve">פבר 2027</t>
  </si>
  <si>
    <t xml:space="preserve">מרץ 2027</t>
  </si>
  <si>
    <t xml:space="preserve">הרחבה</t>
  </si>
  <si>
    <t xml:space="preserve">אפר 2027</t>
  </si>
  <si>
    <t xml:space="preserve">מאי 2027</t>
  </si>
  <si>
    <t xml:space="preserve">יונ 2027</t>
  </si>
  <si>
    <t xml:space="preserve">יול 2027</t>
  </si>
  <si>
    <t xml:space="preserve">אוג 2027</t>
  </si>
  <si>
    <t xml:space="preserve">תת-סיכומים רבעוניים — שנה 1</t>
  </si>
  <si>
    <t xml:space="preserve">רבעון</t>
  </si>
  <si>
    <t xml:space="preserve">הערה</t>
  </si>
  <si>
    <t xml:space="preserve">Q1</t>
  </si>
  <si>
    <t xml:space="preserve">M1-M3</t>
  </si>
  <si>
    <t xml:space="preserve">Q2</t>
  </si>
  <si>
    <t xml:space="preserve">M4-M6</t>
  </si>
  <si>
    <t xml:space="preserve">Q3</t>
  </si>
  <si>
    <t xml:space="preserve">M7-M9</t>
  </si>
  <si>
    <t xml:space="preserve">Q4</t>
  </si>
  <si>
    <t xml:space="preserve">M10-M12</t>
  </si>
  <si>
    <t xml:space="preserve">סה״כ שנה 1</t>
  </si>
  <si>
    <t xml:space="preserve">C. תחזית חודשית — שנה 2 (ספט 2027 → אוג 2028)  ·  פורמט 150g</t>
  </si>
  <si>
    <t xml:space="preserve">ספט 2027</t>
  </si>
  <si>
    <t xml:space="preserve">אוק 2027</t>
  </si>
  <si>
    <t xml:space="preserve">נוב 2027</t>
  </si>
  <si>
    <t xml:space="preserve">דצמ 2027</t>
  </si>
  <si>
    <t xml:space="preserve">ינו 2028</t>
  </si>
  <si>
    <t xml:space="preserve">פבר 2028</t>
  </si>
  <si>
    <t xml:space="preserve">מרץ 2028</t>
  </si>
  <si>
    <t xml:space="preserve">בגרות</t>
  </si>
  <si>
    <t xml:space="preserve">אפר 2028</t>
  </si>
  <si>
    <t xml:space="preserve">מאי 2028</t>
  </si>
  <si>
    <t xml:space="preserve">יונ 2028</t>
  </si>
  <si>
    <t xml:space="preserve">יול 2028</t>
  </si>
  <si>
    <t xml:space="preserve">אוג 2028</t>
  </si>
  <si>
    <t xml:space="preserve">תת-סיכומים רבעוניים — שנה 2</t>
  </si>
  <si>
    <t xml:space="preserve">Q5</t>
  </si>
  <si>
    <t xml:space="preserve">M13-M15</t>
  </si>
  <si>
    <t xml:space="preserve">Q6</t>
  </si>
  <si>
    <t xml:space="preserve">M16-M18</t>
  </si>
  <si>
    <t xml:space="preserve">Q7</t>
  </si>
  <si>
    <t xml:space="preserve">M19-M21</t>
  </si>
  <si>
    <t xml:space="preserve">Q8</t>
  </si>
  <si>
    <t xml:space="preserve">M22-M24</t>
  </si>
  <si>
    <t xml:space="preserve">סה״כ שנה 2</t>
  </si>
  <si>
    <t xml:space="preserve">תחזית מכירות חודשית — פורמט 3×100g  ·  24 חודשים</t>
  </si>
  <si>
    <t xml:space="preserve">ספט 2026 → אוג 2028  ·  B2B ₪19.5 (הנחות)  ·  גודל שוק ₪400M טורקי (מ-תא C22)</t>
  </si>
  <si>
    <t xml:space="preserve">B. תחזית חודשית — שנה 1 (ספט 2026 → אוג 2027)  ·  פורמט 3×100g</t>
  </si>
  <si>
    <t xml:space="preserve">C. תחזית חודשית — שנה 2 (ספט 2027 → אוג 2028)  ·  פורמט 3×100g</t>
  </si>
  <si>
    <t xml:space="preserve">תחזית מכירות חודשית — פורמט 100g  ·  24 חודשים</t>
  </si>
  <si>
    <t xml:space="preserve">ספט 2026 → אוג 2028  ·  B2B ₪6.5 (הנחות)  ·  גודל שוק ₪400M טורקי (מ-תא C22)</t>
  </si>
  <si>
    <t xml:space="preserve">B. תחזית חודשית — שנה 1 (ספט 2026 → אוג 2027)  ·  פורמט 100g</t>
  </si>
  <si>
    <t xml:space="preserve">C. תחזית חודשית — שנה 2 (ספט 2027 → אוג 2028)  ·  פורמט 100g</t>
  </si>
  <si>
    <t xml:space="preserve">רווח והפסד (P&amp;L) — השוואת 3 פורמטים</t>
  </si>
  <si>
    <t xml:space="preserve">כל פורמט מוצג כתרחיש עצמאי (מקבל 100% מתקציב השיווק).  סימולציה השוואתית על בסיס אחיד.</t>
  </si>
  <si>
    <t xml:space="preserve">A. דוח רווח והפסד — 2 שנות פעילות  ·  הנתונים מקושרים לתחזיות</t>
  </si>
  <si>
    <t xml:space="preserve">תקופה</t>
  </si>
  <si>
    <t xml:space="preserve">הסבר</t>
  </si>
  <si>
    <t xml:space="preserve">שנה 1</t>
  </si>
  <si>
    <t xml:space="preserve">חשבוניות Raito למפיץ (מעיין)</t>
  </si>
  <si>
    <t xml:space="preserve">שנה 2</t>
  </si>
  <si>
    <t xml:space="preserve">חשבוניות Raito למפיץ</t>
  </si>
  <si>
    <t xml:space="preserve">(-) עמלת מפיץ מעיין</t>
  </si>
  <si>
    <t xml:space="preserve">18% מהכנסות B2B</t>
  </si>
  <si>
    <t xml:space="preserve">(-) עלות ייצור (COGS)</t>
  </si>
  <si>
    <t xml:space="preserve">יחידות × עלות/יחידה</t>
  </si>
  <si>
    <t xml:space="preserve">הכנסות נטו − COGS</t>
  </si>
  <si>
    <t xml:space="preserve">(-) שיווק (חלק Raito)</t>
  </si>
  <si>
    <t xml:space="preserve">60% מתקציב 24 חודשים × 50% חלק Raito</t>
  </si>
  <si>
    <t xml:space="preserve">EBITDA (תפעולי)</t>
  </si>
  <si>
    <t xml:space="preserve">רווח גולמי − שיווק</t>
  </si>
  <si>
    <t xml:space="preserve">רווח גולמי שנה 2 − שיווק שנה 2 (40%)</t>
  </si>
  <si>
    <t xml:space="preserve">סה״כ 2 שנים</t>
  </si>
  <si>
    <t xml:space="preserve">Y1+Y2</t>
  </si>
  <si>
    <t xml:space="preserve">סה״כ EBITDA תקופה</t>
  </si>
  <si>
    <t xml:space="preserve">B. יחסי רווחיות (KPIs)</t>
  </si>
  <si>
    <t xml:space="preserve">מרווח גולמי % (GM)</t>
  </si>
  <si>
    <t xml:space="preserve">רווח גולמי ÷ הכנסות B2B</t>
  </si>
  <si>
    <t xml:space="preserve">שולי EBITDA % (Y1)</t>
  </si>
  <si>
    <t xml:space="preserve">EBITDA ÷ הכנסות B2B</t>
  </si>
  <si>
    <t xml:space="preserve">שולי EBITDA % (Y2)</t>
  </si>
  <si>
    <t xml:space="preserve">חודש Break-even (משוער)</t>
  </si>
  <si>
    <t xml:space="preserve">Y1-Y2</t>
  </si>
  <si>
    <t xml:space="preserve">אומדן — תלוי ב-ramp</t>
  </si>
  <si>
    <t xml:space="preserve">C. מסקנות מהמודל — השוואה בין הפורמטים</t>
  </si>
  <si>
    <t xml:space="preserve">המודל מניח כל פורמט כתרחיש עצמאי המקבל את מלוא תקציב השיווק (₪750K). פורמט 150g (בעל white space + צמיחה +113%) צפוי לייצר את ה-EBITDA הגבוה ביותר בשנה 2. פורמט 3×100g מייצר הכנסות גבוהות יותר בזכות ASP גבוה (₪19.50/מארז) אבל תחת מרווחים דומים. פורמט 100g חיובי בהכנסה אך תחת לחץ תחרותי — דורש מיצוב מחיר אגרסיבי. המלצה: להתחיל עם 150g, להוסיף 3×100g ב-M7, ולשקול 100g בשנה 2 לאחר ביסוס המותג.</t>
  </si>
  <si>
    <t xml:space="preserve">השוואה ישירה — 3 פורמטים  ·  KPIs מרכזיים</t>
  </si>
  <si>
    <t xml:space="preserve">כל תא מקושר לתחזיות ולהנחות  ·  השינויים בהנחות ישנו את כל ההשוואה</t>
  </si>
  <si>
    <t xml:space="preserve">A. פרמטרי מוצר</t>
  </si>
  <si>
    <t xml:space="preserve">מחיר לחשבונית למפיץ</t>
  </si>
  <si>
    <t xml:space="preserve">COGS לפורמט</t>
  </si>
  <si>
    <t xml:space="preserve">מחיר מדף B2C (שוק פרטי)</t>
  </si>
  <si>
    <t xml:space="preserve">מחיר ל-100g (נורמלי)</t>
  </si>
  <si>
    <t xml:space="preserve">מחיר מדף ÷ גרם-100 שווה-ערך</t>
  </si>
  <si>
    <t xml:space="preserve">GM% ליחידה</t>
  </si>
  <si>
    <t xml:space="preserve">B. יעדים ותחזית — נתח שוק + הכנסות</t>
  </si>
  <si>
    <t xml:space="preserve">יעד נתח שוק M12</t>
  </si>
  <si>
    <t xml:space="preserve">נתח מיעד — סוף שנה 1</t>
  </si>
  <si>
    <t xml:space="preserve">יעד נתח שוק M24</t>
  </si>
  <si>
    <t xml:space="preserve">נתח מיעד — סוף שנה 2</t>
  </si>
  <si>
    <t xml:space="preserve">הכנסות B2B — שנה 1</t>
  </si>
  <si>
    <t xml:space="preserve">מתחזית חודשית (SUM M1-M12)</t>
  </si>
  <si>
    <t xml:space="preserve">הכנסות B2B — שנה 2</t>
  </si>
  <si>
    <t xml:space="preserve">מתחזית חודשית (SUM M13-M24)</t>
  </si>
  <si>
    <t xml:space="preserve">יחידות — שנה 1</t>
  </si>
  <si>
    <t xml:space="preserve">מתחזית חודשית</t>
  </si>
  <si>
    <t xml:space="preserve">יחידות — שנה 2</t>
  </si>
  <si>
    <t xml:space="preserve">רווח גולמי — שנה 1</t>
  </si>
  <si>
    <t xml:space="preserve">רווח גולמי — שנה 2</t>
  </si>
  <si>
    <t xml:space="preserve">C. EBITDA + צמיחה Y2 vs Y1</t>
  </si>
  <si>
    <t xml:space="preserve">EBITDA — שנה 1</t>
  </si>
  <si>
    <t xml:space="preserve">רווח גולמי − שיווק (Raito)</t>
  </si>
  <si>
    <t xml:space="preserve">EBITDA — שנה 2</t>
  </si>
  <si>
    <t xml:space="preserve">רווח גולמי Y2 − שיווק Y2</t>
  </si>
  <si>
    <t xml:space="preserve">EBITDA — סה״כ 2 שנים</t>
  </si>
  <si>
    <t xml:space="preserve">סיכום 24 חודשים</t>
  </si>
  <si>
    <t xml:space="preserve">צמיחת הכנסות Y2/Y1</t>
  </si>
  <si>
    <t xml:space="preserve">(Y2-Y1)/Y1</t>
  </si>
  <si>
    <t xml:space="preserve">D. חוזקות וחולשות — תמצית</t>
  </si>
  <si>
    <t xml:space="preserve">חוזקות</t>
  </si>
  <si>
    <t xml:space="preserve">חולשות</t>
  </si>
  <si>
    <t xml:space="preserve">ציון</t>
  </si>
  <si>
    <t xml:space="preserve">White space ב-CHP (8/94 רשתות בלבד), צמיחה +113%, סגמנט חדש בתמחור נוח</t>
  </si>
  <si>
    <t xml:space="preserve">הפצה מוגבלת בהתחלה — דורש השקעה בבניית distribution</t>
  </si>
  <si>
    <t xml:space="preserve">9/10 — מומלץ ביותר</t>
  </si>
  <si>
    <t xml:space="preserve">מצטרף לטרנד המארזים החדשים (98×3, 4×115g), ASP גבוה, ערך-למחיר</t>
  </si>
  <si>
    <t xml:space="preserve">תחרות מ-3×85g של Elite (₪24.46), דורש מיקום ברור — משפחות/ערך</t>
  </si>
  <si>
    <t xml:space="preserve">7.5/10 — מומלץ כהשלמה</t>
  </si>
  <si>
    <t xml:space="preserve">הסגמנט הגדול ביותר (~7% נתח), פורמט מוכר, הזדמנות לפריצה במחיר</t>
  </si>
  <si>
    <t xml:space="preserve">Elite ב-70% רשתות, מחיר נמוך יותר דורש נפח; הסגמנט בירידה של -3.7% YTD</t>
  </si>
  <si>
    <t xml:space="preserve">6/10 — דחייה לשנה 2</t>
  </si>
  <si>
    <t xml:space="preserve">אסטרטגיית שיווק — 24 חודשים  ·  תקציב ₪750K (50/50 Raito/Ma Kashur)</t>
  </si>
  <si>
    <t xml:space="preserve">אסטרטגיית Ma Kashur: אורגני, משפיענים, תוכן — לא מדיה משלמת מס</t>
  </si>
  <si>
    <t xml:space="preserve">A. סך התקציב והחלוקה בין השותפים</t>
  </si>
  <si>
    <t xml:space="preserve">סה״כ תקציב 24 חודשים</t>
  </si>
  <si>
    <t xml:space="preserve">קלט מהנחות — ניתן לשינוי בין ₪500K–₪1M</t>
  </si>
  <si>
    <t xml:space="preserve">50% שוויוני — מומן על ידי Raito</t>
  </si>
  <si>
    <t xml:space="preserve">50% שוויוני — מומן על ידי Ma Kashur (שותפות אסטרטגית)</t>
  </si>
  <si>
    <t xml:space="preserve">תקציב ממוצע חודשי</t>
  </si>
  <si>
    <t xml:space="preserve">פיזור שווה — בפועל פרונט-loaded</t>
  </si>
  <si>
    <t xml:space="preserve">תקציב שנה 1 (60%)</t>
  </si>
  <si>
    <t xml:space="preserve">השקה כבדה — בניית מודעות למותג</t>
  </si>
  <si>
    <t xml:space="preserve">תקציב שנה 2 (40%)</t>
  </si>
  <si>
    <t xml:space="preserve">תחזוקה + הרחבה</t>
  </si>
  <si>
    <t xml:space="preserve">B. חלוקת התקציב לפי ערוץ (אסטרטגיית Ma Kashur — אורגני-ממומן)</t>
  </si>
  <si>
    <t xml:space="preserve">ערוץ</t>
  </si>
  <si>
    <t xml:space="preserve">אחוז</t>
  </si>
  <si>
    <t xml:space="preserve">₪ 24 חודשים</t>
  </si>
  <si>
    <t xml:space="preserve">₪ חודשי ממוצע</t>
  </si>
  <si>
    <t xml:space="preserve">תיאור ופעילויות</t>
  </si>
  <si>
    <t xml:space="preserve">משפיענים (Ma Kashur ecosystem)</t>
  </si>
  <si>
    <t xml:space="preserve">שיתופי פעולה עם משפיענים ערבים-ישראלים בתחומי אוכל/חיי בית — 15-20 תכנים בחודש</t>
  </si>
  <si>
    <t xml:space="preserve">תוכן מותגי (Ma Kashur studio)</t>
  </si>
  <si>
    <t xml:space="preserve">תוכן וידאו/פוסטים/רילס — סיפור המותג, היסטוריה, טעימות</t>
  </si>
  <si>
    <t xml:space="preserve">PR + עיתונות (כלכליסט, ynet, The Marker)</t>
  </si>
  <si>
    <t xml:space="preserve">קמפיין PR בהשקה — סטורי על Raito + מוצר ערבי-ישראלי אמתי</t>
  </si>
  <si>
    <t xml:space="preserve">דגימות + קידום בנקודת מכירה</t>
  </si>
  <si>
    <t xml:space="preserve">דוכני דגימה ברשתות + אירועים מיוחדים במגזר הערבי</t>
  </si>
  <si>
    <t xml:space="preserve">דיגיטלי — Meta + TikTok</t>
  </si>
  <si>
    <t xml:space="preserve">קמפיינים ממוקדים — ספקטרום דמוגרפי: 25-55, הן במגזר הערבי והן יהודי סקרני</t>
  </si>
  <si>
    <t xml:space="preserve">Events + שותפויות (ראמדאן, חגים, פסטיבלים)</t>
  </si>
  <si>
    <t xml:space="preserve">נוכחות באירועים במגזר הערבי — דרום תל אביב, נצרת, חיפה</t>
  </si>
  <si>
    <t xml:space="preserve">Reserve / התאמה לתרחיש</t>
  </si>
  <si>
    <t xml:space="preserve">רזרבה לתגובה לתחרות, הזדמנויות לא צפויות</t>
  </si>
  <si>
    <t xml:space="preserve">סה״כ — בדיקה</t>
  </si>
  <si>
    <t xml:space="preserve">אמור להיות 100% ו- 100% מהתקציב הכולל</t>
  </si>
  <si>
    <t xml:space="preserve">C. לוח זמנים — פילוח לפי פאזה</t>
  </si>
  <si>
    <t xml:space="preserve">פאזה</t>
  </si>
  <si>
    <t xml:space="preserve">% מהתקציב</t>
  </si>
  <si>
    <t xml:space="preserve">פעילות מרכזית</t>
  </si>
  <si>
    <t xml:space="preserve">שלב 1 — השקה</t>
  </si>
  <si>
    <t xml:space="preserve">PR blitz, משפיענים גדולים, PR השקה, דוכני דגימה ברשתות מובילות</t>
  </si>
  <si>
    <t xml:space="preserve">שלב 2 — הרחבה</t>
  </si>
  <si>
    <t xml:space="preserve">המשך משפיענים קבועים, קמפיינים עונתיים (קיץ, רמדאן, חגים), שותפויות</t>
  </si>
  <si>
    <t xml:space="preserve">שלב 3 — בגרות</t>
  </si>
  <si>
    <t xml:space="preserve">תחזוקה, מוצרי המשך (טעמים/פורמטים), דיגיטלי ממוקד ROI</t>
  </si>
  <si>
    <t xml:space="preserve">D. KPIs לתקציב השיווק — מה נמדוד?</t>
  </si>
  <si>
    <t xml:space="preserve">Reach</t>
  </si>
  <si>
    <t xml:space="preserve">חשיפות בתקופה</t>
  </si>
  <si>
    <t xml:space="preserve">5M+ חשיפות באוכלוסיית היעד (מגזר ערבי + קהל כללי סקרן)</t>
  </si>
  <si>
    <t xml:space="preserve">Brand Awareness (AI/AD)</t>
  </si>
  <si>
    <t xml:space="preserve">סקר ייעודי — רבעוני</t>
  </si>
  <si>
    <t xml:space="preserve">מ-0% ל-25% ביצועי זיהוי מותג (aided) באוכלוסיית היעד עד M12</t>
  </si>
  <si>
    <t xml:space="preserve">CAC (Cost per Acquisition)</t>
  </si>
  <si>
    <t xml:space="preserve">₪ למוצר שנמכר</t>
  </si>
  <si>
    <t xml:space="preserve">₪15-25 ל-unit נרכש — בהתאם לערוצים</t>
  </si>
  <si>
    <t xml:space="preserve">Conversion משפיענים</t>
  </si>
  <si>
    <t xml:space="preserve">% ממעקב לרכישה</t>
  </si>
  <si>
    <t xml:space="preserve">1.5-3% conversion מצפייה להוספה לסל</t>
  </si>
  <si>
    <t xml:space="preserve">Distribution build</t>
  </si>
  <si>
    <t xml:space="preserve">רשתות / חנויות בשוק פרטי</t>
  </si>
  <si>
    <t xml:space="preserve">Y1: 30 חנויות עצמאיות ראשונות, 1-2 רשתות מאורגנות; Y2: הרחבה</t>
  </si>
  <si>
    <t xml:space="preserve">Velocity per store</t>
  </si>
  <si>
    <t xml:space="preserve">יחידות/חנות/שבוע</t>
  </si>
  <si>
    <t xml:space="preserve">יעד M6: 10+ יח׳/שבוע/חנות; M12: 20+ יח׳/שבוע/חנות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</si>
</sst>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₪#,##0.00;&quot;(₪&quot;#,##0.00\);\-"/>
    <numFmt numFmtId="166" formatCode="\₪#,##0;&quot;(₪&quot;#,##0\);\-"/>
    <numFmt numFmtId="167" formatCode="#,##0;\(#,##0\);\-"/>
    <numFmt numFmtId="168" formatCode="0.0%;\(0.0%\);\-"/>
    <numFmt numFmtId="169" formatCode="0.00"/>
    <numFmt numFmtId="170" formatCode="0.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D3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1F2D3D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i val="true"/>
      <sz val="10"/>
      <color rgb="FF80808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10"/>
      <color rgb="FF1E40AF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2D3D"/>
      <name val="Arial"/>
      <family val="0"/>
      <charset val="1"/>
    </font>
    <font>
      <i val="true"/>
      <sz val="10"/>
      <color rgb="FF166534"/>
      <name val="Arial"/>
      <family val="0"/>
      <charset val="1"/>
    </font>
    <font>
      <i val="true"/>
      <sz val="10"/>
      <color rgb="FF92400E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1F2D3D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2D3D"/>
        <bgColor rgb="FF2C4462"/>
      </patternFill>
    </fill>
    <fill>
      <patternFill patternType="solid">
        <fgColor rgb="FF2C4462"/>
        <bgColor rgb="FF1F4E79"/>
      </patternFill>
    </fill>
    <fill>
      <patternFill patternType="solid">
        <fgColor rgb="FFD6E4F0"/>
        <bgColor rgb="FFDEEAF1"/>
      </patternFill>
    </fill>
    <fill>
      <patternFill patternType="solid">
        <fgColor rgb="FFF5F5F5"/>
        <bgColor rgb="FFEEF4FF"/>
      </patternFill>
    </fill>
    <fill>
      <patternFill patternType="solid">
        <fgColor rgb="FFDBEAFE"/>
        <bgColor rgb="FFDEEAF1"/>
      </patternFill>
    </fill>
    <fill>
      <patternFill patternType="solid">
        <fgColor rgb="FFDCFCE7"/>
        <bgColor rgb="FFE2EFDA"/>
      </patternFill>
    </fill>
    <fill>
      <patternFill patternType="solid">
        <fgColor rgb="FFFEF3C7"/>
        <bgColor rgb="FFFFF2CC"/>
      </patternFill>
    </fill>
    <fill>
      <patternFill patternType="solid">
        <fgColor rgb="FFFFF2CC"/>
        <bgColor rgb="FFFEF3C7"/>
      </patternFill>
    </fill>
    <fill>
      <patternFill patternType="solid">
        <fgColor rgb="FFEEF4FF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CE4D6"/>
        <bgColor rgb="FFFFE4B5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DBEAFE"/>
      </patternFill>
    </fill>
    <fill>
      <patternFill patternType="solid">
        <fgColor rgb="FFFFE4B5"/>
        <bgColor rgb="FFFFE699"/>
      </patternFill>
    </fill>
    <fill>
      <patternFill patternType="solid">
        <fgColor rgb="FFC1F0B4"/>
        <bgColor rgb="FFE2EFDA"/>
      </patternFill>
    </fill>
    <fill>
      <patternFill patternType="solid">
        <fgColor rgb="FFFFF0A0"/>
        <bgColor rgb="FFFFE699"/>
      </patternFill>
    </fill>
    <fill>
      <patternFill patternType="solid">
        <fgColor rgb="FF1E40AF"/>
        <bgColor rgb="FF1F4E79"/>
      </patternFill>
    </fill>
    <fill>
      <patternFill patternType="solid">
        <fgColor rgb="FF166534"/>
        <bgColor rgb="FF006400"/>
      </patternFill>
    </fill>
    <fill>
      <patternFill patternType="solid">
        <fgColor rgb="FF92400E"/>
        <bgColor rgb="FF993366"/>
      </patternFill>
    </fill>
    <fill>
      <patternFill patternType="solid">
        <fgColor rgb="FFFFE699"/>
        <bgColor rgb="FFFFF0A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2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6400"/>
      <rgbColor rgb="FF000080"/>
      <rgbColor rgb="FF808000"/>
      <rgbColor rgb="FF800080"/>
      <rgbColor rgb="FF166534"/>
      <rgbColor rgb="FFBDBDBD"/>
      <rgbColor rgb="FF808080"/>
      <rgbColor rgb="FF5B9BD5"/>
      <rgbColor rgb="FF7030A0"/>
      <rgbColor rgb="FFFEF3C7"/>
      <rgbColor rgb="FFDCFCE7"/>
      <rgbColor rgb="FF660066"/>
      <rgbColor rgb="FFEEF4FF"/>
      <rgbColor rgb="FF1F4E79"/>
      <rgbColor rgb="FFD6E4F0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DBEAFE"/>
      <rgbColor rgb="FFC1F0B4"/>
      <rgbColor rgb="FFFFF0A0"/>
      <rgbColor rgb="FFDEEAF1"/>
      <rgbColor rgb="FFFCE4D6"/>
      <rgbColor rgb="FFE2EFDA"/>
      <rgbColor rgb="FFFFE699"/>
      <rgbColor rgb="FF4472C4"/>
      <rgbColor rgb="FF33CCCC"/>
      <rgbColor rgb="FF99CC00"/>
      <rgbColor rgb="FFFFE4B5"/>
      <rgbColor rgb="FFFF9900"/>
      <rgbColor rgb="FFC65911"/>
      <rgbColor rgb="FF4B5563"/>
      <rgbColor rgb="FFC8A04A"/>
      <rgbColor rgb="FF2C4462"/>
      <rgbColor rgb="FF339966"/>
      <rgbColor rgb="FF006100"/>
      <rgbColor rgb="FF333300"/>
      <rgbColor rgb="FF92400E"/>
      <rgbColor rgb="FF993366"/>
      <rgbColor rgb="FF1E40AF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2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2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</row>
    <row r="6" customFormat="false" ht="27.7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  <c r="H6" s="5"/>
    </row>
    <row r="7" customFormat="false" ht="27.7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</row>
    <row r="8" customFormat="false" ht="27.7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  <c r="H8" s="5"/>
    </row>
    <row r="9" customFormat="false" ht="27.7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</row>
    <row r="10" customFormat="false" ht="27.75" hidden="false" customHeight="true" outlineLevel="0" collapsed="false">
      <c r="A10" s="4" t="s">
        <v>13</v>
      </c>
      <c r="B10" s="5" t="s">
        <v>14</v>
      </c>
      <c r="C10" s="5"/>
      <c r="D10" s="5"/>
      <c r="E10" s="5"/>
      <c r="F10" s="5"/>
      <c r="G10" s="5"/>
      <c r="H10" s="5"/>
    </row>
    <row r="12" customFormat="false" ht="24" hidden="false" customHeight="true" outlineLevel="0" collapsed="false">
      <c r="A12" s="3" t="s">
        <v>15</v>
      </c>
      <c r="B12" s="3"/>
      <c r="C12" s="3"/>
      <c r="D12" s="3"/>
      <c r="E12" s="3"/>
      <c r="F12" s="3"/>
      <c r="G12" s="3"/>
      <c r="H12" s="3"/>
    </row>
    <row r="13" customFormat="false" ht="31.5" hidden="false" customHeight="true" outlineLevel="0" collapsed="false">
      <c r="A13" s="4" t="s">
        <v>16</v>
      </c>
      <c r="B13" s="6" t="s">
        <v>17</v>
      </c>
      <c r="C13" s="7" t="s">
        <v>18</v>
      </c>
      <c r="D13" s="7" t="s">
        <v>19</v>
      </c>
      <c r="E13" s="6" t="s">
        <v>20</v>
      </c>
      <c r="F13" s="6" t="s">
        <v>21</v>
      </c>
      <c r="G13" s="6" t="s">
        <v>22</v>
      </c>
      <c r="H13" s="7" t="s">
        <v>23</v>
      </c>
    </row>
    <row r="14" customFormat="false" ht="27.75" hidden="false" customHeight="true" outlineLevel="0" collapsed="false">
      <c r="A14" s="8" t="s">
        <v>24</v>
      </c>
      <c r="B14" s="9" t="n">
        <f aca="false">הנחות!$B$41</f>
        <v>8.9</v>
      </c>
      <c r="C14" s="10" t="n">
        <f aca="false">הנחות!$B$41/(1-הנחות!$B$15)*(1+הנחות!$B$13)</f>
        <v>13.1275</v>
      </c>
      <c r="D14" s="11" t="n">
        <f aca="false">'תחזית 150 גרם'!F31</f>
        <v>17807909.6045198</v>
      </c>
      <c r="E14" s="12" t="n">
        <f aca="false">'תחזית 150 גרם'!E31</f>
        <v>2000888.71960896</v>
      </c>
      <c r="F14" s="13" t="n">
        <f aca="false">'תחזית 150 גרם'!I31</f>
        <v>2987326.85837618</v>
      </c>
      <c r="G14" s="14" t="n">
        <f aca="false">IFERROR(F14/D14,0)</f>
        <v>0.167752808988764</v>
      </c>
      <c r="H14" s="11" t="n">
        <f aca="false">'רווח והפסד'!D17</f>
        <v>2762326.85837618</v>
      </c>
    </row>
    <row r="15" customFormat="false" ht="27.75" hidden="false" customHeight="true" outlineLevel="0" collapsed="false">
      <c r="A15" s="15" t="s">
        <v>25</v>
      </c>
      <c r="B15" s="16" t="n">
        <f aca="false">הנחות!$B$46</f>
        <v>19.5</v>
      </c>
      <c r="C15" s="17" t="n">
        <f aca="false">הנחות!$B$46/(1-הנחות!$B$15)*(1+הנחות!$B$13)</f>
        <v>28.7625</v>
      </c>
      <c r="D15" s="18" t="n">
        <f aca="false">'תחזית 3x100 גרם'!F31</f>
        <v>7123163.84180791</v>
      </c>
      <c r="E15" s="19" t="n">
        <f aca="false">'תחזית 3x100 גרם'!E31</f>
        <v>365290.453426047</v>
      </c>
      <c r="F15" s="20" t="n">
        <f aca="false">'תחזית 3x100 גרם'!I31</f>
        <v>1599972.18600608</v>
      </c>
      <c r="G15" s="21" t="n">
        <f aca="false">IFERROR(F15/D15,0)</f>
        <v>0.224615384615385</v>
      </c>
      <c r="H15" s="18" t="n">
        <f aca="false">'רווח והפסד'!E17</f>
        <v>1374972.18600608</v>
      </c>
    </row>
    <row r="16" customFormat="false" ht="27.75" hidden="false" customHeight="true" outlineLevel="0" collapsed="false">
      <c r="A16" s="22" t="s">
        <v>26</v>
      </c>
      <c r="B16" s="23" t="n">
        <f aca="false">הנחות!$B$51</f>
        <v>6.5</v>
      </c>
      <c r="C16" s="24" t="n">
        <f aca="false">הנחות!$B$51/(1-הנחות!$B$15)*(1+הנחות!$B$13)</f>
        <v>9.5875</v>
      </c>
      <c r="D16" s="25" t="n">
        <f aca="false">'תחזית 100 גרם'!F31</f>
        <v>10684745.7627119</v>
      </c>
      <c r="E16" s="26" t="n">
        <f aca="false">'תחזית 100 גרם'!E31</f>
        <v>1643807.04041721</v>
      </c>
      <c r="F16" s="27" t="n">
        <f aca="false">'תחזית 100 גרם'!I31</f>
        <v>2399958.27900913</v>
      </c>
      <c r="G16" s="28" t="n">
        <f aca="false">IFERROR(F16/D16,0)</f>
        <v>0.224615384615385</v>
      </c>
      <c r="H16" s="25" t="n">
        <f aca="false">'רווח והפסד'!F17</f>
        <v>2174958.27900913</v>
      </c>
    </row>
    <row r="18" customFormat="false" ht="24" hidden="false" customHeight="true" outlineLevel="0" collapsed="false">
      <c r="A18" s="3" t="s">
        <v>27</v>
      </c>
      <c r="B18" s="3"/>
      <c r="C18" s="3"/>
      <c r="D18" s="3"/>
      <c r="E18" s="3"/>
      <c r="F18" s="3"/>
      <c r="G18" s="3"/>
      <c r="H18" s="3"/>
    </row>
    <row r="19" customFormat="false" ht="31.5" hidden="false" customHeight="true" outlineLevel="0" collapsed="false">
      <c r="A19" s="4" t="s">
        <v>16</v>
      </c>
      <c r="B19" s="7" t="s">
        <v>28</v>
      </c>
      <c r="C19" s="6" t="s">
        <v>29</v>
      </c>
      <c r="D19" s="7" t="s">
        <v>30</v>
      </c>
      <c r="E19" s="7" t="s">
        <v>31</v>
      </c>
      <c r="F19" s="7" t="s">
        <v>32</v>
      </c>
      <c r="G19" s="7" t="s">
        <v>33</v>
      </c>
      <c r="H19" s="7" t="s">
        <v>34</v>
      </c>
    </row>
    <row r="20" customFormat="false" ht="27.75" hidden="false" customHeight="true" outlineLevel="0" collapsed="false">
      <c r="A20" s="8" t="s">
        <v>35</v>
      </c>
      <c r="B20" s="11" t="n">
        <f aca="false">'תחזית 150 גרם'!F56</f>
        <v>34463276.8361582</v>
      </c>
      <c r="C20" s="12" t="n">
        <f aca="false">'תחזית 150 גרם'!E56</f>
        <v>3872278.29619755</v>
      </c>
      <c r="D20" s="29" t="n">
        <f aca="false">IFERROR(B20/D14-1,0)</f>
        <v>0.935279187817259</v>
      </c>
      <c r="E20" s="13" t="n">
        <f aca="false">'תחזית 150 גרם'!I56</f>
        <v>5781311.49622295</v>
      </c>
      <c r="F20" s="11" t="n">
        <f aca="false">'רווח והפסד'!D18</f>
        <v>5631311.49622295</v>
      </c>
      <c r="G20" s="30" t="n">
        <f aca="false">D14+B20</f>
        <v>52271186.440678</v>
      </c>
      <c r="H20" s="11" t="n">
        <f aca="false">'רווח והפסד'!D17+'רווח והפסד'!D18</f>
        <v>8393638.35459913</v>
      </c>
    </row>
    <row r="21" customFormat="false" ht="27.75" hidden="false" customHeight="true" outlineLevel="0" collapsed="false">
      <c r="A21" s="15" t="s">
        <v>36</v>
      </c>
      <c r="B21" s="18" t="n">
        <f aca="false">'תחזית 3x100 גרם'!F56</f>
        <v>15254237.2881356</v>
      </c>
      <c r="C21" s="19" t="n">
        <f aca="false">'תחזית 3x100 גרם'!E56</f>
        <v>782268.578878748</v>
      </c>
      <c r="D21" s="31" t="n">
        <f aca="false">IFERROR(B21/D15-1,0)</f>
        <v>1.14149746192893</v>
      </c>
      <c r="E21" s="20" t="n">
        <f aca="false">'תחזית 3x100 גרם'!I56</f>
        <v>3426336.37548892</v>
      </c>
      <c r="F21" s="18" t="n">
        <f aca="false">'רווח והפסד'!E18</f>
        <v>3276336.37548892</v>
      </c>
      <c r="G21" s="32" t="n">
        <f aca="false">D15+B21</f>
        <v>22377401.1299435</v>
      </c>
      <c r="H21" s="18" t="n">
        <f aca="false">'רווח והפסד'!E17+'רווח והפסד'!E18</f>
        <v>4651308.561495</v>
      </c>
    </row>
    <row r="22" customFormat="false" ht="27.75" hidden="false" customHeight="true" outlineLevel="0" collapsed="false">
      <c r="A22" s="22" t="s">
        <v>37</v>
      </c>
      <c r="B22" s="25" t="n">
        <f aca="false">'תחזית 100 גרם'!F56</f>
        <v>20677966.1016949</v>
      </c>
      <c r="C22" s="26" t="n">
        <f aca="false">'תחזית 100 גרם'!E56</f>
        <v>3181225.55410691</v>
      </c>
      <c r="D22" s="33" t="n">
        <f aca="false">IFERROR(B22/D16-1,0)</f>
        <v>0.935279187817259</v>
      </c>
      <c r="E22" s="27" t="n">
        <f aca="false">'תחזית 100 גרם'!I56</f>
        <v>4644589.30899609</v>
      </c>
      <c r="F22" s="25" t="n">
        <f aca="false">'רווח והפסד'!F18</f>
        <v>4494589.30899609</v>
      </c>
      <c r="G22" s="34" t="n">
        <f aca="false">D16+B22</f>
        <v>31362711.8644068</v>
      </c>
      <c r="H22" s="25" t="n">
        <f aca="false">'רווח והפסד'!F17+'רווח והפסד'!F18</f>
        <v>6669547.58800521</v>
      </c>
    </row>
    <row r="24" customFormat="false" ht="24" hidden="false" customHeight="true" outlineLevel="0" collapsed="false">
      <c r="A24" s="3" t="s">
        <v>38</v>
      </c>
      <c r="B24" s="3"/>
      <c r="C24" s="3"/>
      <c r="D24" s="3"/>
      <c r="E24" s="3"/>
      <c r="F24" s="3"/>
      <c r="G24" s="3"/>
      <c r="H24" s="3"/>
    </row>
    <row r="25" customFormat="false" ht="79.5" hidden="false" customHeight="true" outlineLevel="0" collapsed="false">
      <c r="A25" s="35" t="s">
        <v>39</v>
      </c>
      <c r="B25" s="35"/>
      <c r="C25" s="35"/>
      <c r="D25" s="35"/>
      <c r="E25" s="35"/>
      <c r="F25" s="35"/>
      <c r="G25" s="35"/>
      <c r="H25" s="35"/>
    </row>
  </sheetData>
  <mergeCells count="13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A12:H12"/>
    <mergeCell ref="A18:H18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false"/>
  </sheetPr>
  <dimension ref="A1:D5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6"/>
  </cols>
  <sheetData>
    <row r="1" customFormat="false" ht="31.5" hidden="false" customHeight="true" outlineLevel="0" collapsed="false">
      <c r="A1" s="1" t="s">
        <v>40</v>
      </c>
      <c r="B1" s="1"/>
      <c r="C1" s="1"/>
      <c r="D1" s="1"/>
    </row>
    <row r="2" customFormat="false" ht="19.5" hidden="false" customHeight="true" outlineLevel="0" collapsed="false">
      <c r="A2" s="2" t="s">
        <v>41</v>
      </c>
      <c r="B2" s="2"/>
      <c r="C2" s="2"/>
      <c r="D2" s="2"/>
    </row>
    <row r="4" customFormat="false" ht="24" hidden="false" customHeight="true" outlineLevel="0" collapsed="false">
      <c r="A4" s="3" t="s">
        <v>42</v>
      </c>
      <c r="B4" s="3"/>
      <c r="C4" s="3"/>
      <c r="D4" s="3"/>
    </row>
    <row r="5" customFormat="false" ht="15" hidden="false" customHeight="false" outlineLevel="0" collapsed="false">
      <c r="A5" s="4" t="s">
        <v>43</v>
      </c>
      <c r="B5" s="6" t="s">
        <v>44</v>
      </c>
      <c r="C5" s="6" t="s">
        <v>45</v>
      </c>
      <c r="D5" s="4" t="s">
        <v>46</v>
      </c>
    </row>
    <row r="6" customFormat="false" ht="15" hidden="false" customHeight="false" outlineLevel="0" collapsed="false">
      <c r="A6" s="36" t="s">
        <v>47</v>
      </c>
      <c r="B6" s="37" t="n">
        <v>3.87</v>
      </c>
      <c r="C6" s="38" t="s">
        <v>48</v>
      </c>
      <c r="D6" s="39" t="s">
        <v>49</v>
      </c>
    </row>
    <row r="7" customFormat="false" ht="15" hidden="false" customHeight="false" outlineLevel="0" collapsed="false">
      <c r="A7" s="40" t="s">
        <v>50</v>
      </c>
      <c r="B7" s="41" t="n">
        <f aca="false">הנחות!$B$6*1.5</f>
        <v>5.805</v>
      </c>
      <c r="C7" s="42" t="s">
        <v>51</v>
      </c>
      <c r="D7" s="43" t="s">
        <v>52</v>
      </c>
    </row>
    <row r="8" customFormat="false" ht="15" hidden="false" customHeight="false" outlineLevel="0" collapsed="false">
      <c r="A8" s="36" t="s">
        <v>53</v>
      </c>
      <c r="B8" s="44" t="n">
        <f aca="false">הנחות!$B$6*3</f>
        <v>11.61</v>
      </c>
      <c r="C8" s="38" t="s">
        <v>54</v>
      </c>
      <c r="D8" s="39" t="s">
        <v>55</v>
      </c>
    </row>
    <row r="9" customFormat="false" ht="15" hidden="false" customHeight="false" outlineLevel="0" collapsed="false">
      <c r="A9" s="40" t="s">
        <v>56</v>
      </c>
      <c r="B9" s="41" t="n">
        <f aca="false">הנחות!$B$6</f>
        <v>3.87</v>
      </c>
      <c r="C9" s="42" t="s">
        <v>57</v>
      </c>
      <c r="D9" s="43" t="s">
        <v>58</v>
      </c>
    </row>
    <row r="11" customFormat="false" ht="24" hidden="false" customHeight="true" outlineLevel="0" collapsed="false">
      <c r="A11" s="3" t="s">
        <v>59</v>
      </c>
      <c r="B11" s="3"/>
      <c r="C11" s="3"/>
      <c r="D11" s="3"/>
    </row>
    <row r="12" customFormat="false" ht="15" hidden="false" customHeight="false" outlineLevel="0" collapsed="false">
      <c r="A12" s="4" t="s">
        <v>43</v>
      </c>
      <c r="B12" s="6" t="s">
        <v>44</v>
      </c>
      <c r="C12" s="6" t="s">
        <v>45</v>
      </c>
      <c r="D12" s="4" t="s">
        <v>46</v>
      </c>
    </row>
    <row r="13" customFormat="false" ht="15" hidden="false" customHeight="false" outlineLevel="0" collapsed="false">
      <c r="A13" s="40" t="s">
        <v>60</v>
      </c>
      <c r="B13" s="45" t="n">
        <v>0.18</v>
      </c>
      <c r="C13" s="42" t="s">
        <v>61</v>
      </c>
      <c r="D13" s="43" t="s">
        <v>62</v>
      </c>
    </row>
    <row r="14" customFormat="false" ht="15" hidden="false" customHeight="false" outlineLevel="0" collapsed="false">
      <c r="A14" s="36" t="s">
        <v>63</v>
      </c>
      <c r="B14" s="46" t="n">
        <v>0.3</v>
      </c>
      <c r="C14" s="38" t="s">
        <v>61</v>
      </c>
      <c r="D14" s="39" t="s">
        <v>64</v>
      </c>
    </row>
    <row r="15" customFormat="false" ht="15" hidden="false" customHeight="false" outlineLevel="0" collapsed="false">
      <c r="A15" s="40" t="s">
        <v>65</v>
      </c>
      <c r="B15" s="45" t="n">
        <v>0.2</v>
      </c>
      <c r="C15" s="42" t="s">
        <v>61</v>
      </c>
      <c r="D15" s="43" t="s">
        <v>66</v>
      </c>
    </row>
    <row r="16" customFormat="false" ht="15" hidden="false" customHeight="false" outlineLevel="0" collapsed="false">
      <c r="A16" s="36" t="s">
        <v>67</v>
      </c>
      <c r="B16" s="46" t="n">
        <v>0.18</v>
      </c>
      <c r="C16" s="38" t="s">
        <v>61</v>
      </c>
      <c r="D16" s="39" t="s">
        <v>68</v>
      </c>
    </row>
    <row r="19" customFormat="false" ht="24" hidden="false" customHeight="true" outlineLevel="0" collapsed="false">
      <c r="A19" s="3" t="s">
        <v>69</v>
      </c>
      <c r="B19" s="3"/>
      <c r="C19" s="3"/>
      <c r="D19" s="3"/>
    </row>
    <row r="20" customFormat="false" ht="15" hidden="false" customHeight="false" outlineLevel="0" collapsed="false">
      <c r="A20" s="4" t="s">
        <v>43</v>
      </c>
      <c r="B20" s="6" t="s">
        <v>44</v>
      </c>
      <c r="C20" s="6" t="s">
        <v>45</v>
      </c>
      <c r="D20" s="4" t="s">
        <v>46</v>
      </c>
    </row>
    <row r="21" customFormat="false" ht="15" hidden="false" customHeight="false" outlineLevel="0" collapsed="false">
      <c r="A21" s="40" t="s">
        <v>70</v>
      </c>
      <c r="B21" s="47" t="n">
        <v>830000000</v>
      </c>
      <c r="C21" s="42" t="s">
        <v>71</v>
      </c>
      <c r="D21" s="43" t="s">
        <v>72</v>
      </c>
    </row>
    <row r="22" customFormat="false" ht="15" hidden="false" customHeight="false" outlineLevel="0" collapsed="false">
      <c r="A22" s="36" t="s">
        <v>73</v>
      </c>
      <c r="B22" s="48" t="n">
        <v>400000000</v>
      </c>
      <c r="C22" s="38" t="s">
        <v>71</v>
      </c>
      <c r="D22" s="39" t="s">
        <v>74</v>
      </c>
    </row>
    <row r="23" customFormat="false" ht="15" hidden="false" customHeight="false" outlineLevel="0" collapsed="false">
      <c r="A23" s="40" t="s">
        <v>75</v>
      </c>
      <c r="B23" s="49" t="n">
        <v>15</v>
      </c>
      <c r="C23" s="42" t="s">
        <v>76</v>
      </c>
      <c r="D23" s="43" t="s">
        <v>77</v>
      </c>
    </row>
    <row r="24" customFormat="false" ht="15" hidden="false" customHeight="false" outlineLevel="0" collapsed="false">
      <c r="A24" s="36" t="s">
        <v>78</v>
      </c>
      <c r="B24" s="50" t="n">
        <v>20</v>
      </c>
      <c r="C24" s="38" t="s">
        <v>76</v>
      </c>
      <c r="D24" s="39" t="s">
        <v>79</v>
      </c>
    </row>
    <row r="25" customFormat="false" ht="24" hidden="false" customHeight="true" outlineLevel="0" collapsed="false">
      <c r="A25" s="3" t="s">
        <v>80</v>
      </c>
      <c r="B25" s="3"/>
      <c r="C25" s="3"/>
      <c r="D25" s="3"/>
    </row>
    <row r="26" customFormat="false" ht="15" hidden="false" customHeight="false" outlineLevel="0" collapsed="false">
      <c r="A26" s="4" t="s">
        <v>81</v>
      </c>
      <c r="B26" s="6" t="s">
        <v>82</v>
      </c>
      <c r="C26" s="6" t="s">
        <v>83</v>
      </c>
      <c r="D26" s="4" t="s">
        <v>84</v>
      </c>
    </row>
    <row r="27" customFormat="false" ht="15" hidden="false" customHeight="false" outlineLevel="0" collapsed="false">
      <c r="A27" s="51" t="s">
        <v>85</v>
      </c>
      <c r="B27" s="52" t="n">
        <v>0.7</v>
      </c>
      <c r="C27" s="53" t="s">
        <v>86</v>
      </c>
      <c r="D27" s="54" t="s">
        <v>87</v>
      </c>
    </row>
    <row r="28" customFormat="false" ht="15" hidden="false" customHeight="false" outlineLevel="0" collapsed="false">
      <c r="A28" s="55" t="s">
        <v>88</v>
      </c>
      <c r="B28" s="56" t="n">
        <v>1</v>
      </c>
      <c r="C28" s="57" t="s">
        <v>89</v>
      </c>
      <c r="D28" s="58" t="s">
        <v>90</v>
      </c>
    </row>
    <row r="29" customFormat="false" ht="15" hidden="false" customHeight="false" outlineLevel="0" collapsed="false">
      <c r="A29" s="59" t="s">
        <v>91</v>
      </c>
      <c r="B29" s="60" t="n">
        <v>1.3</v>
      </c>
      <c r="C29" s="61" t="s">
        <v>92</v>
      </c>
      <c r="D29" s="62" t="s">
        <v>93</v>
      </c>
    </row>
    <row r="30" customFormat="false" ht="24" hidden="false" customHeight="true" outlineLevel="0" collapsed="false">
      <c r="A30" s="3" t="s">
        <v>94</v>
      </c>
      <c r="B30" s="3"/>
      <c r="C30" s="3"/>
      <c r="D30" s="3"/>
    </row>
    <row r="31" customFormat="false" ht="15" hidden="false" customHeight="false" outlineLevel="0" collapsed="false">
      <c r="A31" s="4" t="s">
        <v>43</v>
      </c>
      <c r="B31" s="6" t="s">
        <v>44</v>
      </c>
      <c r="C31" s="6" t="s">
        <v>45</v>
      </c>
      <c r="D31" s="4" t="s">
        <v>46</v>
      </c>
    </row>
    <row r="32" customFormat="false" ht="15" hidden="false" customHeight="false" outlineLevel="0" collapsed="false">
      <c r="A32" s="36" t="s">
        <v>95</v>
      </c>
      <c r="B32" s="48" t="n">
        <v>750000</v>
      </c>
      <c r="C32" s="38" t="s">
        <v>96</v>
      </c>
      <c r="D32" s="39" t="s">
        <v>97</v>
      </c>
    </row>
    <row r="33" customFormat="false" ht="15" hidden="false" customHeight="false" outlineLevel="0" collapsed="false">
      <c r="A33" s="40" t="s">
        <v>98</v>
      </c>
      <c r="B33" s="45" t="n">
        <v>0.5</v>
      </c>
      <c r="C33" s="42" t="s">
        <v>61</v>
      </c>
      <c r="D33" s="43" t="s">
        <v>99</v>
      </c>
    </row>
    <row r="34" customFormat="false" ht="15" hidden="false" customHeight="false" outlineLevel="0" collapsed="false">
      <c r="A34" s="36" t="s">
        <v>100</v>
      </c>
      <c r="B34" s="46" t="n">
        <v>0.5</v>
      </c>
      <c r="C34" s="38" t="s">
        <v>61</v>
      </c>
      <c r="D34" s="39" t="s">
        <v>101</v>
      </c>
    </row>
    <row r="35" customFormat="false" ht="15" hidden="false" customHeight="false" outlineLevel="0" collapsed="false">
      <c r="A35" s="40" t="s">
        <v>102</v>
      </c>
      <c r="B35" s="63" t="n">
        <f aca="false">הנחות!$B$32*הנחות!$B$33</f>
        <v>375000</v>
      </c>
      <c r="C35" s="42" t="s">
        <v>96</v>
      </c>
      <c r="D35" s="43" t="s">
        <v>103</v>
      </c>
    </row>
    <row r="36" customFormat="false" ht="15" hidden="false" customHeight="false" outlineLevel="0" collapsed="false">
      <c r="A36" s="36" t="s">
        <v>104</v>
      </c>
      <c r="B36" s="64" t="n">
        <f aca="false">הנחות!$B$32*הנחות!$B$34</f>
        <v>375000</v>
      </c>
      <c r="C36" s="38" t="s">
        <v>96</v>
      </c>
      <c r="D36" s="39" t="s">
        <v>105</v>
      </c>
    </row>
    <row r="38" customFormat="false" ht="24" hidden="false" customHeight="true" outlineLevel="0" collapsed="false">
      <c r="A38" s="3" t="s">
        <v>106</v>
      </c>
      <c r="B38" s="3"/>
      <c r="C38" s="3"/>
      <c r="D38" s="3"/>
    </row>
    <row r="39" customFormat="false" ht="15" hidden="false" customHeight="false" outlineLevel="0" collapsed="false">
      <c r="A39" s="4" t="s">
        <v>107</v>
      </c>
      <c r="B39" s="6" t="s">
        <v>44</v>
      </c>
      <c r="C39" s="6" t="s">
        <v>45</v>
      </c>
      <c r="D39" s="4" t="s">
        <v>108</v>
      </c>
    </row>
    <row r="40" customFormat="false" ht="42" hidden="false" customHeight="true" outlineLevel="0" collapsed="false">
      <c r="A40" s="8" t="s">
        <v>109</v>
      </c>
      <c r="B40" s="65" t="s">
        <v>110</v>
      </c>
      <c r="C40" s="65"/>
      <c r="D40" s="65"/>
    </row>
    <row r="41" customFormat="false" ht="15" hidden="false" customHeight="false" outlineLevel="0" collapsed="false">
      <c r="A41" s="66" t="s">
        <v>111</v>
      </c>
      <c r="B41" s="67" t="n">
        <v>8.9</v>
      </c>
      <c r="C41" s="68" t="s">
        <v>112</v>
      </c>
      <c r="D41" s="69" t="s">
        <v>113</v>
      </c>
    </row>
    <row r="42" customFormat="false" ht="15" hidden="false" customHeight="false" outlineLevel="0" collapsed="false">
      <c r="A42" s="66" t="s">
        <v>114</v>
      </c>
      <c r="B42" s="70" t="n">
        <v>0.1</v>
      </c>
      <c r="C42" s="68" t="s">
        <v>61</v>
      </c>
      <c r="D42" s="69" t="s">
        <v>115</v>
      </c>
    </row>
    <row r="43" customFormat="false" ht="15" hidden="false" customHeight="false" outlineLevel="0" collapsed="false">
      <c r="A43" s="66" t="s">
        <v>116</v>
      </c>
      <c r="B43" s="70" t="n">
        <v>0.15</v>
      </c>
      <c r="C43" s="68" t="s">
        <v>61</v>
      </c>
      <c r="D43" s="69" t="s">
        <v>117</v>
      </c>
    </row>
    <row r="45" customFormat="false" ht="42" hidden="false" customHeight="true" outlineLevel="0" collapsed="false">
      <c r="A45" s="15" t="s">
        <v>118</v>
      </c>
      <c r="B45" s="71" t="s">
        <v>119</v>
      </c>
      <c r="C45" s="71"/>
      <c r="D45" s="71"/>
    </row>
    <row r="46" customFormat="false" ht="15" hidden="false" customHeight="false" outlineLevel="0" collapsed="false">
      <c r="A46" s="72" t="s">
        <v>120</v>
      </c>
      <c r="B46" s="73" t="n">
        <v>19.5</v>
      </c>
      <c r="C46" s="74" t="s">
        <v>54</v>
      </c>
      <c r="D46" s="75" t="s">
        <v>121</v>
      </c>
    </row>
    <row r="47" customFormat="false" ht="15" hidden="false" customHeight="false" outlineLevel="0" collapsed="false">
      <c r="A47" s="72" t="s">
        <v>122</v>
      </c>
      <c r="B47" s="76" t="n">
        <v>0.04</v>
      </c>
      <c r="C47" s="74" t="s">
        <v>61</v>
      </c>
      <c r="D47" s="75" t="s">
        <v>123</v>
      </c>
    </row>
    <row r="48" customFormat="false" ht="15" hidden="false" customHeight="false" outlineLevel="0" collapsed="false">
      <c r="A48" s="72" t="s">
        <v>124</v>
      </c>
      <c r="B48" s="76" t="n">
        <v>0.07</v>
      </c>
      <c r="C48" s="74" t="s">
        <v>61</v>
      </c>
      <c r="D48" s="75" t="s">
        <v>125</v>
      </c>
    </row>
    <row r="50" customFormat="false" ht="42" hidden="false" customHeight="true" outlineLevel="0" collapsed="false">
      <c r="A50" s="22" t="s">
        <v>126</v>
      </c>
      <c r="B50" s="77" t="s">
        <v>127</v>
      </c>
      <c r="C50" s="77"/>
      <c r="D50" s="77"/>
    </row>
    <row r="51" customFormat="false" ht="15" hidden="false" customHeight="false" outlineLevel="0" collapsed="false">
      <c r="A51" s="78" t="s">
        <v>128</v>
      </c>
      <c r="B51" s="79" t="n">
        <v>6.5</v>
      </c>
      <c r="C51" s="80" t="s">
        <v>112</v>
      </c>
      <c r="D51" s="81" t="s">
        <v>129</v>
      </c>
    </row>
    <row r="52" customFormat="false" ht="15" hidden="false" customHeight="false" outlineLevel="0" collapsed="false">
      <c r="A52" s="78" t="s">
        <v>130</v>
      </c>
      <c r="B52" s="82" t="n">
        <v>0.06</v>
      </c>
      <c r="C52" s="80" t="s">
        <v>61</v>
      </c>
      <c r="D52" s="81" t="s">
        <v>131</v>
      </c>
    </row>
    <row r="53" customFormat="false" ht="15" hidden="false" customHeight="false" outlineLevel="0" collapsed="false">
      <c r="A53" s="78" t="s">
        <v>132</v>
      </c>
      <c r="B53" s="82" t="n">
        <v>0.09</v>
      </c>
      <c r="C53" s="80" t="s">
        <v>61</v>
      </c>
      <c r="D53" s="81" t="s">
        <v>133</v>
      </c>
    </row>
  </sheetData>
  <mergeCells count="11">
    <mergeCell ref="A1:D1"/>
    <mergeCell ref="A2:D2"/>
    <mergeCell ref="A4:D4"/>
    <mergeCell ref="A11:D11"/>
    <mergeCell ref="A19:D19"/>
    <mergeCell ref="A25:D25"/>
    <mergeCell ref="A30:D30"/>
    <mergeCell ref="A38:D38"/>
    <mergeCell ref="B40:D40"/>
    <mergeCell ref="B45:D45"/>
    <mergeCell ref="B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G3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135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3" t="s">
        <v>136</v>
      </c>
      <c r="B4" s="3"/>
      <c r="C4" s="3"/>
      <c r="D4" s="3"/>
      <c r="E4" s="3"/>
      <c r="F4" s="3"/>
      <c r="G4" s="3"/>
    </row>
    <row r="5" customFormat="false" ht="31.5" hidden="false" customHeight="true" outlineLevel="0" collapsed="false">
      <c r="A5" s="4" t="s">
        <v>137</v>
      </c>
      <c r="B5" s="6" t="s">
        <v>138</v>
      </c>
      <c r="C5" s="6" t="s">
        <v>139</v>
      </c>
      <c r="D5" s="7" t="s">
        <v>140</v>
      </c>
      <c r="E5" s="7" t="s">
        <v>141</v>
      </c>
      <c r="F5" s="6" t="s">
        <v>142</v>
      </c>
      <c r="G5" s="7" t="s">
        <v>143</v>
      </c>
    </row>
    <row r="6" customFormat="false" ht="15" hidden="false" customHeight="false" outlineLevel="0" collapsed="false">
      <c r="A6" s="83" t="s">
        <v>144</v>
      </c>
      <c r="B6" s="84" t="n">
        <v>11.53</v>
      </c>
      <c r="C6" s="85" t="n">
        <v>11.9</v>
      </c>
      <c r="D6" s="86" t="s">
        <v>145</v>
      </c>
      <c r="E6" s="87" t="s">
        <v>146</v>
      </c>
      <c r="F6" s="88" t="n">
        <v>0.702127659574468</v>
      </c>
      <c r="G6" s="89" t="n">
        <v>11.53</v>
      </c>
    </row>
    <row r="7" customFormat="false" ht="15" hidden="false" customHeight="false" outlineLevel="0" collapsed="false">
      <c r="A7" s="90" t="s">
        <v>147</v>
      </c>
      <c r="B7" s="91" t="n">
        <v>13.14</v>
      </c>
      <c r="C7" s="92" t="n">
        <v>12.9</v>
      </c>
      <c r="D7" s="93" t="s">
        <v>148</v>
      </c>
      <c r="E7" s="94" t="s">
        <v>149</v>
      </c>
      <c r="F7" s="95" t="n">
        <v>0.0851063829787234</v>
      </c>
      <c r="G7" s="96" t="n">
        <v>8.76</v>
      </c>
    </row>
    <row r="8" customFormat="false" ht="15" hidden="false" customHeight="false" outlineLevel="0" collapsed="false">
      <c r="A8" s="97" t="s">
        <v>150</v>
      </c>
      <c r="B8" s="98" t="n">
        <v>19.25</v>
      </c>
      <c r="C8" s="99" t="n">
        <v>19</v>
      </c>
      <c r="D8" s="100" t="s">
        <v>151</v>
      </c>
      <c r="E8" s="101" t="s">
        <v>152</v>
      </c>
      <c r="F8" s="102" t="n">
        <v>0.765957446808511</v>
      </c>
      <c r="G8" s="103" t="n">
        <v>9.63</v>
      </c>
    </row>
    <row r="9" customFormat="false" ht="15" hidden="false" customHeight="false" outlineLevel="0" collapsed="false">
      <c r="A9" s="97" t="s">
        <v>153</v>
      </c>
      <c r="B9" s="98" t="n">
        <v>9.12</v>
      </c>
      <c r="C9" s="99" t="n">
        <v>9.1</v>
      </c>
      <c r="D9" s="100" t="s">
        <v>154</v>
      </c>
      <c r="E9" s="101" t="s">
        <v>155</v>
      </c>
      <c r="F9" s="102" t="n">
        <v>0.0638297872340426</v>
      </c>
      <c r="G9" s="103" t="n">
        <v>10.73</v>
      </c>
    </row>
    <row r="10" customFormat="false" ht="15" hidden="false" customHeight="false" outlineLevel="0" collapsed="false">
      <c r="A10" s="104" t="s">
        <v>156</v>
      </c>
      <c r="B10" s="105" t="n">
        <v>24.46</v>
      </c>
      <c r="C10" s="106" t="n">
        <v>25.4</v>
      </c>
      <c r="D10" s="107" t="s">
        <v>157</v>
      </c>
      <c r="E10" s="108" t="s">
        <v>158</v>
      </c>
      <c r="F10" s="109" t="n">
        <v>0.542553191489362</v>
      </c>
      <c r="G10" s="110" t="n">
        <v>9.59</v>
      </c>
    </row>
    <row r="11" customFormat="false" ht="15" hidden="false" customHeight="false" outlineLevel="0" collapsed="false">
      <c r="A11" s="97" t="s">
        <v>159</v>
      </c>
      <c r="B11" s="98" t="n">
        <v>20.83</v>
      </c>
      <c r="C11" s="99" t="n">
        <v>21.9</v>
      </c>
      <c r="D11" s="100" t="s">
        <v>160</v>
      </c>
      <c r="E11" s="101" t="s">
        <v>161</v>
      </c>
      <c r="F11" s="102" t="n">
        <v>0.797872340425532</v>
      </c>
      <c r="G11" s="103" t="n">
        <v>12.4</v>
      </c>
    </row>
    <row r="13" customFormat="false" ht="24" hidden="false" customHeight="true" outlineLevel="0" collapsed="false">
      <c r="A13" s="3" t="s">
        <v>162</v>
      </c>
      <c r="B13" s="3"/>
      <c r="C13" s="3"/>
      <c r="D13" s="3"/>
      <c r="E13" s="3"/>
      <c r="F13" s="3"/>
      <c r="G13" s="3"/>
    </row>
    <row r="14" customFormat="false" ht="31.5" hidden="false" customHeight="true" outlineLevel="0" collapsed="false">
      <c r="A14" s="4" t="s">
        <v>137</v>
      </c>
      <c r="B14" s="7" t="s">
        <v>163</v>
      </c>
      <c r="C14" s="7" t="s">
        <v>164</v>
      </c>
      <c r="D14" s="7" t="s">
        <v>165</v>
      </c>
      <c r="E14" s="6" t="s">
        <v>166</v>
      </c>
      <c r="F14" s="6" t="s">
        <v>167</v>
      </c>
      <c r="G14" s="7" t="s">
        <v>168</v>
      </c>
    </row>
    <row r="15" customFormat="false" ht="15" hidden="false" customHeight="false" outlineLevel="0" collapsed="false">
      <c r="A15" s="83" t="s">
        <v>169</v>
      </c>
      <c r="B15" s="111" t="n">
        <v>2547.96</v>
      </c>
      <c r="C15" s="111" t="n">
        <v>2172.19</v>
      </c>
      <c r="D15" s="86" t="s">
        <v>170</v>
      </c>
      <c r="E15" s="88" t="n">
        <v>0.078</v>
      </c>
      <c r="F15" s="88" t="n">
        <v>0.071</v>
      </c>
      <c r="G15" s="112" t="n">
        <v>-0.037</v>
      </c>
    </row>
    <row r="16" customFormat="false" ht="15" hidden="false" customHeight="false" outlineLevel="0" collapsed="false">
      <c r="A16" s="90" t="s">
        <v>171</v>
      </c>
      <c r="B16" s="113" t="n">
        <v>526.19</v>
      </c>
      <c r="C16" s="113" t="n">
        <v>1124.84</v>
      </c>
      <c r="D16" s="114" t="s">
        <v>172</v>
      </c>
      <c r="E16" s="95" t="n">
        <v>0.022</v>
      </c>
      <c r="F16" s="95" t="n">
        <v>0.045</v>
      </c>
      <c r="G16" s="115" t="n">
        <v>0.524</v>
      </c>
    </row>
    <row r="17" customFormat="false" ht="15" hidden="false" customHeight="false" outlineLevel="0" collapsed="false">
      <c r="A17" s="97" t="s">
        <v>150</v>
      </c>
      <c r="B17" s="116" t="n">
        <v>4649.19</v>
      </c>
      <c r="C17" s="116" t="n">
        <v>3875.63</v>
      </c>
      <c r="D17" s="100" t="s">
        <v>173</v>
      </c>
      <c r="E17" s="102" t="n">
        <v>0.242</v>
      </c>
      <c r="F17" s="102" t="n">
        <v>0.204</v>
      </c>
      <c r="G17" s="117" t="n">
        <v>0.042</v>
      </c>
    </row>
    <row r="18" customFormat="false" ht="15" hidden="false" customHeight="false" outlineLevel="0" collapsed="false">
      <c r="A18" s="97" t="s">
        <v>153</v>
      </c>
      <c r="B18" s="116" t="n">
        <v>1380.69</v>
      </c>
      <c r="C18" s="116" t="n">
        <v>1106.28</v>
      </c>
      <c r="D18" s="100" t="s">
        <v>173</v>
      </c>
      <c r="E18" s="38" t="s">
        <v>174</v>
      </c>
      <c r="F18" s="38" t="s">
        <v>174</v>
      </c>
      <c r="G18" s="38" t="s">
        <v>174</v>
      </c>
    </row>
    <row r="19" customFormat="false" ht="15" hidden="false" customHeight="false" outlineLevel="0" collapsed="false">
      <c r="A19" s="97" t="s">
        <v>175</v>
      </c>
      <c r="B19" s="116" t="n">
        <v>526.38</v>
      </c>
      <c r="C19" s="116" t="n">
        <v>660.33</v>
      </c>
      <c r="D19" s="118" t="s">
        <v>176</v>
      </c>
      <c r="E19" s="38" t="s">
        <v>174</v>
      </c>
      <c r="F19" s="38" t="s">
        <v>174</v>
      </c>
      <c r="G19" s="38" t="s">
        <v>174</v>
      </c>
    </row>
    <row r="20" customFormat="false" ht="15" hidden="false" customHeight="false" outlineLevel="0" collapsed="false">
      <c r="A20" s="104" t="s">
        <v>156</v>
      </c>
      <c r="B20" s="119" t="n">
        <v>1119.26</v>
      </c>
      <c r="C20" s="119" t="n">
        <v>945.32</v>
      </c>
      <c r="D20" s="107" t="s">
        <v>173</v>
      </c>
      <c r="E20" s="109" t="n">
        <v>0.07</v>
      </c>
      <c r="F20" s="109" t="n">
        <v>0.063</v>
      </c>
      <c r="G20" s="74" t="s">
        <v>174</v>
      </c>
    </row>
    <row r="21" customFormat="false" ht="15" hidden="false" customHeight="false" outlineLevel="0" collapsed="false">
      <c r="A21" s="104" t="s">
        <v>177</v>
      </c>
      <c r="B21" s="74" t="s">
        <v>174</v>
      </c>
      <c r="C21" s="74" t="s">
        <v>174</v>
      </c>
      <c r="D21" s="107" t="s">
        <v>174</v>
      </c>
      <c r="E21" s="109" t="n">
        <v>0.08</v>
      </c>
      <c r="F21" s="109" t="n">
        <v>0.054</v>
      </c>
      <c r="G21" s="120" t="n">
        <v>-0.088</v>
      </c>
    </row>
    <row r="22" customFormat="false" ht="15" hidden="false" customHeight="false" outlineLevel="0" collapsed="false">
      <c r="A22" s="104" t="s">
        <v>178</v>
      </c>
      <c r="B22" s="74" t="s">
        <v>174</v>
      </c>
      <c r="C22" s="74" t="s">
        <v>174</v>
      </c>
      <c r="D22" s="107" t="s">
        <v>174</v>
      </c>
      <c r="E22" s="109" t="n">
        <v>0.077</v>
      </c>
      <c r="F22" s="109" t="n">
        <v>0.076</v>
      </c>
      <c r="G22" s="121" t="n">
        <v>0.217</v>
      </c>
    </row>
    <row r="23" customFormat="false" ht="15" hidden="false" customHeight="false" outlineLevel="0" collapsed="false">
      <c r="A23" s="104" t="s">
        <v>179</v>
      </c>
      <c r="B23" s="74" t="s">
        <v>174</v>
      </c>
      <c r="C23" s="119" t="n">
        <v>0.08</v>
      </c>
      <c r="D23" s="107" t="s">
        <v>180</v>
      </c>
      <c r="E23" s="74" t="s">
        <v>174</v>
      </c>
      <c r="F23" s="109" t="n">
        <v>0</v>
      </c>
      <c r="G23" s="74" t="s">
        <v>174</v>
      </c>
    </row>
    <row r="24" customFormat="false" ht="15" hidden="false" customHeight="false" outlineLevel="0" collapsed="false">
      <c r="A24" s="104" t="s">
        <v>181</v>
      </c>
      <c r="B24" s="74" t="s">
        <v>174</v>
      </c>
      <c r="C24" s="74" t="s">
        <v>174</v>
      </c>
      <c r="D24" s="107" t="s">
        <v>182</v>
      </c>
      <c r="E24" s="74" t="s">
        <v>174</v>
      </c>
      <c r="F24" s="74" t="s">
        <v>174</v>
      </c>
      <c r="G24" s="74" t="s">
        <v>174</v>
      </c>
    </row>
    <row r="26" customFormat="false" ht="24" hidden="false" customHeight="true" outlineLevel="0" collapsed="false">
      <c r="A26" s="3" t="s">
        <v>183</v>
      </c>
      <c r="B26" s="3"/>
      <c r="C26" s="3"/>
      <c r="D26" s="3"/>
      <c r="E26" s="3"/>
      <c r="F26" s="3"/>
      <c r="G26" s="3"/>
    </row>
    <row r="27" customFormat="false" ht="15" hidden="false" customHeight="false" outlineLevel="0" collapsed="false">
      <c r="A27" s="122" t="s">
        <v>184</v>
      </c>
      <c r="B27" s="123" t="s">
        <v>185</v>
      </c>
      <c r="C27" s="124" t="s">
        <v>186</v>
      </c>
      <c r="D27" s="124"/>
      <c r="E27" s="124"/>
      <c r="F27" s="124"/>
      <c r="G27" s="124"/>
    </row>
    <row r="28" customFormat="false" ht="12.65" hidden="false" customHeight="false" outlineLevel="0" collapsed="false">
      <c r="A28" s="97" t="s">
        <v>187</v>
      </c>
      <c r="B28" s="125" t="s">
        <v>188</v>
      </c>
      <c r="C28" s="126" t="s">
        <v>189</v>
      </c>
      <c r="D28" s="126"/>
      <c r="E28" s="126"/>
      <c r="F28" s="126"/>
      <c r="G28" s="126"/>
    </row>
    <row r="29" customFormat="false" ht="15" hidden="false" customHeight="false" outlineLevel="0" collapsed="false">
      <c r="A29" s="122" t="s">
        <v>190</v>
      </c>
      <c r="B29" s="123" t="s">
        <v>191</v>
      </c>
      <c r="C29" s="124" t="s">
        <v>192</v>
      </c>
      <c r="D29" s="124"/>
      <c r="E29" s="124"/>
      <c r="F29" s="124"/>
      <c r="G29" s="124"/>
    </row>
    <row r="30" customFormat="false" ht="15" hidden="false" customHeight="false" outlineLevel="0" collapsed="false">
      <c r="A30" s="97" t="s">
        <v>193</v>
      </c>
      <c r="B30" s="125" t="s">
        <v>194</v>
      </c>
      <c r="C30" s="126" t="s">
        <v>195</v>
      </c>
      <c r="D30" s="126"/>
      <c r="E30" s="126"/>
      <c r="F30" s="126"/>
      <c r="G30" s="126"/>
    </row>
    <row r="31" customFormat="false" ht="15" hidden="false" customHeight="false" outlineLevel="0" collapsed="false">
      <c r="A31" s="122" t="s">
        <v>196</v>
      </c>
      <c r="B31" s="123" t="s">
        <v>197</v>
      </c>
      <c r="C31" s="124" t="s">
        <v>198</v>
      </c>
      <c r="D31" s="124"/>
      <c r="E31" s="124"/>
      <c r="F31" s="124"/>
      <c r="G31" s="124"/>
    </row>
    <row r="32" customFormat="false" ht="15" hidden="false" customHeight="false" outlineLevel="0" collapsed="false">
      <c r="A32" s="97" t="s">
        <v>199</v>
      </c>
      <c r="B32" s="125" t="s">
        <v>200</v>
      </c>
      <c r="C32" s="126" t="s">
        <v>201</v>
      </c>
      <c r="D32" s="126"/>
      <c r="E32" s="126"/>
      <c r="F32" s="126"/>
      <c r="G32" s="126"/>
    </row>
    <row r="33" customFormat="false" ht="12.65" hidden="false" customHeight="false" outlineLevel="0" collapsed="false">
      <c r="A33" s="122" t="s">
        <v>202</v>
      </c>
      <c r="B33" s="123" t="s">
        <v>203</v>
      </c>
      <c r="C33" s="124" t="s">
        <v>204</v>
      </c>
      <c r="D33" s="124"/>
      <c r="E33" s="124"/>
      <c r="F33" s="124"/>
      <c r="G33" s="124"/>
    </row>
    <row r="34" customFormat="false" ht="15" hidden="false" customHeight="false" outlineLevel="0" collapsed="false">
      <c r="A34" s="97" t="s">
        <v>205</v>
      </c>
      <c r="B34" s="125" t="s">
        <v>206</v>
      </c>
      <c r="C34" s="126" t="s">
        <v>207</v>
      </c>
      <c r="D34" s="126"/>
      <c r="E34" s="126"/>
      <c r="F34" s="126"/>
      <c r="G34" s="126"/>
    </row>
    <row r="36" customFormat="false" ht="24" hidden="false" customHeight="true" outlineLevel="0" collapsed="false">
      <c r="A36" s="3" t="s">
        <v>208</v>
      </c>
      <c r="B36" s="3"/>
      <c r="C36" s="3"/>
      <c r="D36" s="3"/>
      <c r="E36" s="3"/>
      <c r="F36" s="3"/>
      <c r="G36" s="3"/>
    </row>
    <row r="37" customFormat="false" ht="57.75" hidden="false" customHeight="true" outlineLevel="0" collapsed="false">
      <c r="A37" s="8" t="s">
        <v>209</v>
      </c>
      <c r="B37" s="127" t="s">
        <v>210</v>
      </c>
      <c r="C37" s="127"/>
      <c r="D37" s="127"/>
      <c r="E37" s="127"/>
      <c r="F37" s="127"/>
      <c r="G37" s="127"/>
    </row>
    <row r="38" customFormat="false" ht="57.75" hidden="false" customHeight="true" outlineLevel="0" collapsed="false">
      <c r="A38" s="15" t="s">
        <v>211</v>
      </c>
      <c r="B38" s="128" t="s">
        <v>212</v>
      </c>
      <c r="C38" s="128"/>
      <c r="D38" s="128"/>
      <c r="E38" s="128"/>
      <c r="F38" s="128"/>
      <c r="G38" s="128"/>
    </row>
    <row r="39" customFormat="false" ht="57.75" hidden="false" customHeight="true" outlineLevel="0" collapsed="false">
      <c r="A39" s="22" t="s">
        <v>213</v>
      </c>
      <c r="B39" s="129" t="s">
        <v>214</v>
      </c>
      <c r="C39" s="129"/>
      <c r="D39" s="129"/>
      <c r="E39" s="129"/>
      <c r="F39" s="129"/>
      <c r="G39" s="129"/>
    </row>
  </sheetData>
  <mergeCells count="17">
    <mergeCell ref="A1:G1"/>
    <mergeCell ref="A2:G2"/>
    <mergeCell ref="A4:G4"/>
    <mergeCell ref="A13:G13"/>
    <mergeCell ref="A26:G26"/>
    <mergeCell ref="C27:G27"/>
    <mergeCell ref="C28:G28"/>
    <mergeCell ref="C29:G29"/>
    <mergeCell ref="C30:G30"/>
    <mergeCell ref="C31:G31"/>
    <mergeCell ref="C32:G32"/>
    <mergeCell ref="C33:G33"/>
    <mergeCell ref="C34:G34"/>
    <mergeCell ref="A36:G36"/>
    <mergeCell ref="B37:G37"/>
    <mergeCell ref="B38:G38"/>
    <mergeCell ref="B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A"/>
    <pageSetUpPr fitToPage="false"/>
  </sheetPr>
  <dimension ref="A1:E5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" t="s">
        <v>215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216</v>
      </c>
      <c r="B2" s="2"/>
      <c r="C2" s="2"/>
      <c r="D2" s="2"/>
      <c r="E2" s="2"/>
    </row>
    <row r="4" customFormat="false" ht="24" hidden="false" customHeight="true" outlineLevel="0" collapsed="false">
      <c r="A4" s="3" t="s">
        <v>217</v>
      </c>
      <c r="B4" s="3"/>
      <c r="C4" s="3"/>
      <c r="D4" s="3"/>
      <c r="E4" s="3"/>
    </row>
    <row r="5" customFormat="false" ht="27.75" hidden="false" customHeight="true" outlineLevel="0" collapsed="false">
      <c r="A5" s="4" t="s">
        <v>218</v>
      </c>
      <c r="B5" s="130" t="s">
        <v>219</v>
      </c>
      <c r="C5" s="131" t="s">
        <v>220</v>
      </c>
      <c r="D5" s="132" t="s">
        <v>221</v>
      </c>
      <c r="E5" s="4" t="s">
        <v>46</v>
      </c>
    </row>
    <row r="6" customFormat="false" ht="15" hidden="false" customHeight="false" outlineLevel="0" collapsed="false">
      <c r="A6" s="97" t="s">
        <v>222</v>
      </c>
      <c r="B6" s="10" t="n">
        <f aca="false">הנחות!$B$41</f>
        <v>8.9</v>
      </c>
      <c r="C6" s="17" t="n">
        <f aca="false">הנחות!$B$46</f>
        <v>19.5</v>
      </c>
      <c r="D6" s="24" t="n">
        <f aca="false">הנחות!$B$51</f>
        <v>6.5</v>
      </c>
      <c r="E6" s="39" t="s">
        <v>223</v>
      </c>
    </row>
    <row r="7" customFormat="false" ht="15" hidden="false" customHeight="false" outlineLevel="0" collapsed="false">
      <c r="A7" s="40" t="s">
        <v>224</v>
      </c>
      <c r="B7" s="10" t="n">
        <f aca="false">הנחות!$B$41*הנחות!$B$16</f>
        <v>1.602</v>
      </c>
      <c r="C7" s="17" t="n">
        <f aca="false">הנחות!$B$46*הנחות!$B$16</f>
        <v>3.51</v>
      </c>
      <c r="D7" s="24" t="n">
        <f aca="false">הנחות!$B$51*הנחות!$B$16</f>
        <v>1.17</v>
      </c>
      <c r="E7" s="43" t="s">
        <v>225</v>
      </c>
    </row>
    <row r="8" customFormat="false" ht="15" hidden="false" customHeight="false" outlineLevel="0" collapsed="false">
      <c r="A8" s="97" t="s">
        <v>226</v>
      </c>
      <c r="B8" s="10" t="n">
        <f aca="false">הנחות!$B$41*(1-הנחות!$B$16)</f>
        <v>7.298</v>
      </c>
      <c r="C8" s="17" t="n">
        <f aca="false">הנחות!$B$46*(1-הנחות!$B$16)</f>
        <v>15.99</v>
      </c>
      <c r="D8" s="24" t="n">
        <f aca="false">הנחות!$B$51*(1-הנחות!$B$16)</f>
        <v>5.33</v>
      </c>
      <c r="E8" s="39" t="s">
        <v>227</v>
      </c>
    </row>
    <row r="9" customFormat="false" ht="15" hidden="false" customHeight="false" outlineLevel="0" collapsed="false">
      <c r="A9" s="40" t="s">
        <v>228</v>
      </c>
      <c r="B9" s="10" t="n">
        <f aca="false">הנחות!$B$7</f>
        <v>5.805</v>
      </c>
      <c r="C9" s="17" t="n">
        <f aca="false">הנחות!$B$8</f>
        <v>11.61</v>
      </c>
      <c r="D9" s="24" t="n">
        <f aca="false">הנחות!$B$9</f>
        <v>3.87</v>
      </c>
      <c r="E9" s="43" t="s">
        <v>229</v>
      </c>
    </row>
    <row r="10" customFormat="false" ht="15" hidden="false" customHeight="false" outlineLevel="0" collapsed="false">
      <c r="A10" s="97" t="s">
        <v>230</v>
      </c>
      <c r="B10" s="10" t="n">
        <f aca="false">הנחות!$B$41*(1-הנחות!$B$16)-הנחות!$B$7</f>
        <v>1.493</v>
      </c>
      <c r="C10" s="17" t="n">
        <f aca="false">הנחות!$B$46*(1-הנחות!$B$16)-הנחות!$B$8</f>
        <v>4.38</v>
      </c>
      <c r="D10" s="24" t="n">
        <f aca="false">הנחות!$B$51*(1-הנחות!$B$16)-הנחות!$B$9</f>
        <v>1.46</v>
      </c>
      <c r="E10" s="39" t="s">
        <v>231</v>
      </c>
    </row>
    <row r="11" customFormat="false" ht="15" hidden="false" customHeight="false" outlineLevel="0" collapsed="false">
      <c r="A11" s="122" t="s">
        <v>232</v>
      </c>
      <c r="B11" s="14" t="n">
        <f aca="false">(הנחות!$B$41*(1-הנחות!$B$16)-הנחות!$B$7)/הנחות!$B$41</f>
        <v>0.167752808988764</v>
      </c>
      <c r="C11" s="21" t="n">
        <f aca="false">(הנחות!$B$46*(1-הנחות!$B$16)-הנחות!$B$8)/הנחות!$B$46</f>
        <v>0.224615384615385</v>
      </c>
      <c r="D11" s="28" t="n">
        <f aca="false">(הנחות!$B$51*(1-הנחות!$B$16)-הנחות!$B$9)/הנחות!$B$51</f>
        <v>0.224615384615385</v>
      </c>
      <c r="E11" s="43" t="s">
        <v>233</v>
      </c>
    </row>
    <row r="13" customFormat="false" ht="24" hidden="false" customHeight="true" outlineLevel="0" collapsed="false">
      <c r="A13" s="3" t="s">
        <v>234</v>
      </c>
      <c r="B13" s="3"/>
      <c r="C13" s="3"/>
      <c r="D13" s="3"/>
      <c r="E13" s="3"/>
    </row>
    <row r="14" customFormat="false" ht="15" hidden="false" customHeight="false" outlineLevel="0" collapsed="false">
      <c r="A14" s="97" t="s">
        <v>235</v>
      </c>
      <c r="B14" s="10" t="n">
        <f aca="false">הנחות!$B$41/(1-הנחות!$B$15)*(1+הנחות!$B$13)</f>
        <v>13.1275</v>
      </c>
      <c r="C14" s="17" t="n">
        <f aca="false">הנחות!$B$46/(1-הנחות!$B$15)*(1+הנחות!$B$13)</f>
        <v>28.7625</v>
      </c>
      <c r="D14" s="24" t="n">
        <f aca="false">הנחות!$B$51/(1-הנחות!$B$15)*(1+הנחות!$B$13)</f>
        <v>9.5875</v>
      </c>
      <c r="E14" s="39" t="s">
        <v>236</v>
      </c>
    </row>
    <row r="15" customFormat="false" ht="15" hidden="false" customHeight="false" outlineLevel="0" collapsed="false">
      <c r="A15" s="133" t="s">
        <v>237</v>
      </c>
      <c r="B15" s="10" t="n">
        <f aca="false">(הנחות!$B$41/(1-הנחות!$B$15)*(1+הנחות!$B$13))/1.5</f>
        <v>8.75166666666667</v>
      </c>
      <c r="C15" s="17" t="n">
        <f aca="false">(הנחות!$B$46/(1-הנחות!$B$15)*(1+הנחות!$B$13))/3</f>
        <v>9.5875</v>
      </c>
      <c r="D15" s="24" t="n">
        <f aca="false">הנחות!$B$51/(1-הנחות!$B$15)*(1+הנחות!$B$13)</f>
        <v>9.5875</v>
      </c>
      <c r="E15" s="134" t="s">
        <v>238</v>
      </c>
    </row>
    <row r="17" customFormat="false" ht="24" hidden="false" customHeight="true" outlineLevel="0" collapsed="false">
      <c r="A17" s="3" t="s">
        <v>239</v>
      </c>
      <c r="B17" s="3"/>
      <c r="C17" s="3"/>
      <c r="D17" s="3"/>
      <c r="E17" s="3"/>
    </row>
    <row r="18" customFormat="false" ht="27.75" hidden="false" customHeight="true" outlineLevel="0" collapsed="false">
      <c r="A18" s="4" t="s">
        <v>240</v>
      </c>
      <c r="B18" s="130" t="s">
        <v>241</v>
      </c>
      <c r="C18" s="131" t="s">
        <v>242</v>
      </c>
      <c r="D18" s="132" t="s">
        <v>243</v>
      </c>
      <c r="E18" s="4" t="s">
        <v>46</v>
      </c>
    </row>
    <row r="19" customFormat="false" ht="15" hidden="false" customHeight="false" outlineLevel="0" collapsed="false">
      <c r="A19" s="122" t="s">
        <v>244</v>
      </c>
      <c r="B19" s="67" t="n">
        <v>13.14</v>
      </c>
      <c r="C19" s="73" t="n">
        <v>28.77</v>
      </c>
      <c r="D19" s="79" t="n">
        <v>11.53</v>
      </c>
      <c r="E19" s="43" t="s">
        <v>245</v>
      </c>
    </row>
    <row r="20" customFormat="false" ht="15" hidden="false" customHeight="false" outlineLevel="0" collapsed="false">
      <c r="A20" s="97" t="s">
        <v>246</v>
      </c>
      <c r="B20" s="135" t="n">
        <f aca="false">(הנחות!$B$41/(1-הנחות!$B$15)*(1+הנחות!$B$13))/B19-1</f>
        <v>-0.000951293759512972</v>
      </c>
      <c r="C20" s="136" t="n">
        <f aca="false">(הנחות!$B$46/(1-הנחות!$B$15)*(1+הנחות!$B$13))/C19-1</f>
        <v>-0.000260688216892624</v>
      </c>
      <c r="D20" s="137" t="n">
        <f aca="false">(הנחות!$B$51/(1-הנחות!$B$15)*(1+הנחות!$B$13))/D19-1</f>
        <v>-0.168473547267996</v>
      </c>
      <c r="E20" s="39" t="s">
        <v>247</v>
      </c>
    </row>
    <row r="22" customFormat="false" ht="24" hidden="false" customHeight="true" outlineLevel="0" collapsed="false">
      <c r="A22" s="3" t="s">
        <v>248</v>
      </c>
      <c r="B22" s="3"/>
      <c r="C22" s="3"/>
      <c r="D22" s="3"/>
      <c r="E22" s="3"/>
    </row>
    <row r="23" customFormat="false" ht="12.65" hidden="false" customHeight="false" outlineLevel="0" collapsed="false">
      <c r="A23" s="8" t="s">
        <v>249</v>
      </c>
      <c r="B23" s="65" t="s">
        <v>250</v>
      </c>
      <c r="C23" s="65"/>
      <c r="D23" s="65"/>
      <c r="E23" s="65"/>
    </row>
    <row r="24" customFormat="false" ht="15" hidden="false" customHeight="false" outlineLevel="0" collapsed="false">
      <c r="A24" s="138" t="s">
        <v>17</v>
      </c>
      <c r="B24" s="139" t="s">
        <v>251</v>
      </c>
      <c r="C24" s="139" t="s">
        <v>21</v>
      </c>
      <c r="D24" s="138" t="s">
        <v>252</v>
      </c>
      <c r="E24" s="139" t="s">
        <v>253</v>
      </c>
    </row>
    <row r="25" customFormat="false" ht="15" hidden="false" customHeight="false" outlineLevel="0" collapsed="false">
      <c r="A25" s="67" t="n">
        <v>7.5</v>
      </c>
      <c r="B25" s="10" t="n">
        <f aca="false">A25*(1-הנחות!$B$16)</f>
        <v>6.15</v>
      </c>
      <c r="C25" s="10" t="n">
        <f aca="false">A25*(1-הנחות!$B$16)-הנחות!$B$7</f>
        <v>0.345000000000001</v>
      </c>
      <c r="D25" s="14" t="n">
        <f aca="false">C25/A25</f>
        <v>0.0460000000000001</v>
      </c>
      <c r="E25" s="10" t="n">
        <f aca="false">A25/(1-הנחות!$B$15)*(1+הנחות!$B$13)</f>
        <v>11.0625</v>
      </c>
    </row>
    <row r="26" customFormat="false" ht="15" hidden="false" customHeight="false" outlineLevel="0" collapsed="false">
      <c r="A26" s="67" t="n">
        <v>8</v>
      </c>
      <c r="B26" s="10" t="n">
        <f aca="false">A26*(1-הנחות!$B$16)</f>
        <v>6.56</v>
      </c>
      <c r="C26" s="10" t="n">
        <f aca="false">A26*(1-הנחות!$B$16)-הנחות!$B$7</f>
        <v>0.755000000000001</v>
      </c>
      <c r="D26" s="14" t="n">
        <f aca="false">C26/A26</f>
        <v>0.0943750000000001</v>
      </c>
      <c r="E26" s="10" t="n">
        <f aca="false">A26/(1-הנחות!$B$15)*(1+הנחות!$B$13)</f>
        <v>11.8</v>
      </c>
    </row>
    <row r="27" customFormat="false" ht="15" hidden="false" customHeight="false" outlineLevel="0" collapsed="false">
      <c r="A27" s="67" t="n">
        <v>8.5</v>
      </c>
      <c r="B27" s="10" t="n">
        <f aca="false">A27*(1-הנחות!$B$16)</f>
        <v>6.97</v>
      </c>
      <c r="C27" s="10" t="n">
        <f aca="false">A27*(1-הנחות!$B$16)-הנחות!$B$7</f>
        <v>1.165</v>
      </c>
      <c r="D27" s="14" t="n">
        <f aca="false">C27/A27</f>
        <v>0.137058823529412</v>
      </c>
      <c r="E27" s="10" t="n">
        <f aca="false">A27/(1-הנחות!$B$15)*(1+הנחות!$B$13)</f>
        <v>12.5375</v>
      </c>
    </row>
    <row r="28" customFormat="false" ht="15" hidden="false" customHeight="false" outlineLevel="0" collapsed="false">
      <c r="A28" s="140" t="n">
        <v>8.9</v>
      </c>
      <c r="B28" s="141" t="n">
        <f aca="false">A28*(1-הנחות!$B$16)</f>
        <v>7.298</v>
      </c>
      <c r="C28" s="141" t="n">
        <f aca="false">A28*(1-הנחות!$B$16)-הנחות!$B$7</f>
        <v>1.493</v>
      </c>
      <c r="D28" s="142" t="n">
        <f aca="false">C28/A28</f>
        <v>0.167752808988764</v>
      </c>
      <c r="E28" s="141" t="n">
        <f aca="false">A28/(1-הנחות!$B$15)*(1+הנחות!$B$13)</f>
        <v>13.1275</v>
      </c>
    </row>
    <row r="29" customFormat="false" ht="15" hidden="false" customHeight="false" outlineLevel="0" collapsed="false">
      <c r="A29" s="67" t="n">
        <v>9.5</v>
      </c>
      <c r="B29" s="10" t="n">
        <f aca="false">A29*(1-הנחות!$B$16)</f>
        <v>7.79</v>
      </c>
      <c r="C29" s="10" t="n">
        <f aca="false">A29*(1-הנחות!$B$16)-הנחות!$B$7</f>
        <v>1.985</v>
      </c>
      <c r="D29" s="14" t="n">
        <f aca="false">C29/A29</f>
        <v>0.208947368421053</v>
      </c>
      <c r="E29" s="10" t="n">
        <f aca="false">A29/(1-הנחות!$B$15)*(1+הנחות!$B$13)</f>
        <v>14.0125</v>
      </c>
    </row>
    <row r="30" customFormat="false" ht="15" hidden="false" customHeight="false" outlineLevel="0" collapsed="false">
      <c r="A30" s="67" t="n">
        <v>10</v>
      </c>
      <c r="B30" s="10" t="n">
        <f aca="false">A30*(1-הנחות!$B$16)</f>
        <v>8.2</v>
      </c>
      <c r="C30" s="10" t="n">
        <f aca="false">A30*(1-הנחות!$B$16)-הנחות!$B$7</f>
        <v>2.395</v>
      </c>
      <c r="D30" s="14" t="n">
        <f aca="false">C30/A30</f>
        <v>0.2395</v>
      </c>
      <c r="E30" s="10" t="n">
        <f aca="false">A30/(1-הנחות!$B$15)*(1+הנחות!$B$13)</f>
        <v>14.75</v>
      </c>
    </row>
    <row r="31" customFormat="false" ht="15" hidden="false" customHeight="false" outlineLevel="0" collapsed="false">
      <c r="A31" s="67" t="n">
        <v>10.5</v>
      </c>
      <c r="B31" s="10" t="n">
        <f aca="false">A31*(1-הנחות!$B$16)</f>
        <v>8.61</v>
      </c>
      <c r="C31" s="10" t="n">
        <f aca="false">A31*(1-הנחות!$B$16)-הנחות!$B$7</f>
        <v>2.805</v>
      </c>
      <c r="D31" s="14" t="n">
        <f aca="false">C31/A31</f>
        <v>0.267142857142857</v>
      </c>
      <c r="E31" s="10" t="n">
        <f aca="false">A31/(1-הנחות!$B$15)*(1+הנחות!$B$13)</f>
        <v>15.4875</v>
      </c>
    </row>
    <row r="33" customFormat="false" ht="12.65" hidden="false" customHeight="false" outlineLevel="0" collapsed="false">
      <c r="A33" s="15" t="s">
        <v>254</v>
      </c>
      <c r="B33" s="71" t="s">
        <v>255</v>
      </c>
      <c r="C33" s="71"/>
      <c r="D33" s="71"/>
      <c r="E33" s="71"/>
    </row>
    <row r="34" customFormat="false" ht="15" hidden="false" customHeight="false" outlineLevel="0" collapsed="false">
      <c r="A34" s="143" t="s">
        <v>17</v>
      </c>
      <c r="B34" s="144" t="s">
        <v>251</v>
      </c>
      <c r="C34" s="144" t="s">
        <v>21</v>
      </c>
      <c r="D34" s="143" t="s">
        <v>252</v>
      </c>
      <c r="E34" s="144" t="s">
        <v>253</v>
      </c>
    </row>
    <row r="35" customFormat="false" ht="15" hidden="false" customHeight="false" outlineLevel="0" collapsed="false">
      <c r="A35" s="73" t="n">
        <v>16.5</v>
      </c>
      <c r="B35" s="17" t="n">
        <f aca="false">A35*(1-הנחות!$B$16)</f>
        <v>13.53</v>
      </c>
      <c r="C35" s="17" t="n">
        <f aca="false">A35*(1-הנחות!$B$16)-הנחות!$B$8</f>
        <v>1.92</v>
      </c>
      <c r="D35" s="21" t="n">
        <f aca="false">C35/A35</f>
        <v>0.116363636363636</v>
      </c>
      <c r="E35" s="17" t="n">
        <f aca="false">A35/(1-הנחות!$B$15)*(1+הנחות!$B$13)</f>
        <v>24.3375</v>
      </c>
    </row>
    <row r="36" customFormat="false" ht="15" hidden="false" customHeight="false" outlineLevel="0" collapsed="false">
      <c r="A36" s="73" t="n">
        <v>17.5</v>
      </c>
      <c r="B36" s="17" t="n">
        <f aca="false">A36*(1-הנחות!$B$16)</f>
        <v>14.35</v>
      </c>
      <c r="C36" s="17" t="n">
        <f aca="false">A36*(1-הנחות!$B$16)-הנחות!$B$8</f>
        <v>2.74</v>
      </c>
      <c r="D36" s="21" t="n">
        <f aca="false">C36/A36</f>
        <v>0.156571428571429</v>
      </c>
      <c r="E36" s="17" t="n">
        <f aca="false">A36/(1-הנחות!$B$15)*(1+הנחות!$B$13)</f>
        <v>25.8125</v>
      </c>
    </row>
    <row r="37" customFormat="false" ht="15" hidden="false" customHeight="false" outlineLevel="0" collapsed="false">
      <c r="A37" s="73" t="n">
        <v>18.5</v>
      </c>
      <c r="B37" s="17" t="n">
        <f aca="false">A37*(1-הנחות!$B$16)</f>
        <v>15.17</v>
      </c>
      <c r="C37" s="17" t="n">
        <f aca="false">A37*(1-הנחות!$B$16)-הנחות!$B$8</f>
        <v>3.56</v>
      </c>
      <c r="D37" s="21" t="n">
        <f aca="false">C37/A37</f>
        <v>0.192432432432433</v>
      </c>
      <c r="E37" s="17" t="n">
        <f aca="false">A37/(1-הנחות!$B$15)*(1+הנחות!$B$13)</f>
        <v>27.2875</v>
      </c>
    </row>
    <row r="38" customFormat="false" ht="15" hidden="false" customHeight="false" outlineLevel="0" collapsed="false">
      <c r="A38" s="145" t="n">
        <v>19.5</v>
      </c>
      <c r="B38" s="146" t="n">
        <f aca="false">A38*(1-הנחות!$B$16)</f>
        <v>15.99</v>
      </c>
      <c r="C38" s="146" t="n">
        <f aca="false">A38*(1-הנחות!$B$16)-הנחות!$B$8</f>
        <v>4.38</v>
      </c>
      <c r="D38" s="147" t="n">
        <f aca="false">C38/A38</f>
        <v>0.224615384615385</v>
      </c>
      <c r="E38" s="146" t="n">
        <f aca="false">A38/(1-הנחות!$B$15)*(1+הנחות!$B$13)</f>
        <v>28.7625</v>
      </c>
    </row>
    <row r="39" customFormat="false" ht="15" hidden="false" customHeight="false" outlineLevel="0" collapsed="false">
      <c r="A39" s="73" t="n">
        <v>20.5</v>
      </c>
      <c r="B39" s="17" t="n">
        <f aca="false">A39*(1-הנחות!$B$16)</f>
        <v>16.81</v>
      </c>
      <c r="C39" s="17" t="n">
        <f aca="false">A39*(1-הנחות!$B$16)-הנחות!$B$8</f>
        <v>5.2</v>
      </c>
      <c r="D39" s="21" t="n">
        <f aca="false">C39/A39</f>
        <v>0.253658536585366</v>
      </c>
      <c r="E39" s="17" t="n">
        <f aca="false">A39/(1-הנחות!$B$15)*(1+הנחות!$B$13)</f>
        <v>30.2375</v>
      </c>
    </row>
    <row r="40" customFormat="false" ht="15" hidden="false" customHeight="false" outlineLevel="0" collapsed="false">
      <c r="A40" s="73" t="n">
        <v>21.5</v>
      </c>
      <c r="B40" s="17" t="n">
        <f aca="false">A40*(1-הנחות!$B$16)</f>
        <v>17.63</v>
      </c>
      <c r="C40" s="17" t="n">
        <f aca="false">A40*(1-הנחות!$B$16)-הנחות!$B$8</f>
        <v>6.02</v>
      </c>
      <c r="D40" s="21" t="n">
        <f aca="false">C40/A40</f>
        <v>0.28</v>
      </c>
      <c r="E40" s="17" t="n">
        <f aca="false">A40/(1-הנחות!$B$15)*(1+הנחות!$B$13)</f>
        <v>31.7125</v>
      </c>
    </row>
    <row r="41" customFormat="false" ht="15" hidden="false" customHeight="false" outlineLevel="0" collapsed="false">
      <c r="A41" s="73" t="n">
        <v>22.5</v>
      </c>
      <c r="B41" s="17" t="n">
        <f aca="false">A41*(1-הנחות!$B$16)</f>
        <v>18.45</v>
      </c>
      <c r="C41" s="17" t="n">
        <f aca="false">A41*(1-הנחות!$B$16)-הנחות!$B$8</f>
        <v>6.84</v>
      </c>
      <c r="D41" s="21" t="n">
        <f aca="false">C41/A41</f>
        <v>0.304</v>
      </c>
      <c r="E41" s="17" t="n">
        <f aca="false">A41/(1-הנחות!$B$15)*(1+הנחות!$B$13)</f>
        <v>33.1875</v>
      </c>
    </row>
    <row r="43" customFormat="false" ht="12.65" hidden="false" customHeight="false" outlineLevel="0" collapsed="false">
      <c r="A43" s="22" t="s">
        <v>256</v>
      </c>
      <c r="B43" s="77" t="s">
        <v>257</v>
      </c>
      <c r="C43" s="77"/>
      <c r="D43" s="77"/>
      <c r="E43" s="77"/>
    </row>
    <row r="44" customFormat="false" ht="15" hidden="false" customHeight="false" outlineLevel="0" collapsed="false">
      <c r="A44" s="148" t="s">
        <v>17</v>
      </c>
      <c r="B44" s="149" t="s">
        <v>251</v>
      </c>
      <c r="C44" s="149" t="s">
        <v>21</v>
      </c>
      <c r="D44" s="148" t="s">
        <v>252</v>
      </c>
      <c r="E44" s="149" t="s">
        <v>253</v>
      </c>
    </row>
    <row r="45" customFormat="false" ht="15" hidden="false" customHeight="false" outlineLevel="0" collapsed="false">
      <c r="A45" s="79" t="n">
        <v>5.5</v>
      </c>
      <c r="B45" s="24" t="n">
        <f aca="false">A45*(1-הנחות!$B$16)</f>
        <v>4.51</v>
      </c>
      <c r="C45" s="24" t="n">
        <f aca="false">A45*(1-הנחות!$B$16)-הנחות!$B$9</f>
        <v>0.640000000000001</v>
      </c>
      <c r="D45" s="28" t="n">
        <f aca="false">C45/A45</f>
        <v>0.116363636363636</v>
      </c>
      <c r="E45" s="24" t="n">
        <f aca="false">A45/(1-הנחות!$B$15)*(1+הנחות!$B$13)</f>
        <v>8.1125</v>
      </c>
    </row>
    <row r="46" customFormat="false" ht="15" hidden="false" customHeight="false" outlineLevel="0" collapsed="false">
      <c r="A46" s="79" t="n">
        <v>6</v>
      </c>
      <c r="B46" s="24" t="n">
        <f aca="false">A46*(1-הנחות!$B$16)</f>
        <v>4.92</v>
      </c>
      <c r="C46" s="24" t="n">
        <f aca="false">A46*(1-הנחות!$B$16)-הנחות!$B$9</f>
        <v>1.05</v>
      </c>
      <c r="D46" s="28" t="n">
        <f aca="false">C46/A46</f>
        <v>0.175</v>
      </c>
      <c r="E46" s="24" t="n">
        <f aca="false">A46/(1-הנחות!$B$15)*(1+הנחות!$B$13)</f>
        <v>8.85</v>
      </c>
    </row>
    <row r="47" customFormat="false" ht="15" hidden="false" customHeight="false" outlineLevel="0" collapsed="false">
      <c r="A47" s="150" t="n">
        <v>6.5</v>
      </c>
      <c r="B47" s="151" t="n">
        <f aca="false">A47*(1-הנחות!$B$16)</f>
        <v>5.33</v>
      </c>
      <c r="C47" s="151" t="n">
        <f aca="false">A47*(1-הנחות!$B$16)-הנחות!$B$9</f>
        <v>1.46</v>
      </c>
      <c r="D47" s="152" t="n">
        <f aca="false">C47/A47</f>
        <v>0.224615384615385</v>
      </c>
      <c r="E47" s="151" t="n">
        <f aca="false">A47/(1-הנחות!$B$15)*(1+הנחות!$B$13)</f>
        <v>9.5875</v>
      </c>
    </row>
    <row r="48" customFormat="false" ht="15" hidden="false" customHeight="false" outlineLevel="0" collapsed="false">
      <c r="A48" s="79" t="n">
        <v>6.9</v>
      </c>
      <c r="B48" s="24" t="n">
        <f aca="false">A48*(1-הנחות!$B$16)</f>
        <v>5.658</v>
      </c>
      <c r="C48" s="24" t="n">
        <f aca="false">A48*(1-הנחות!$B$16)-הנחות!$B$9</f>
        <v>1.788</v>
      </c>
      <c r="D48" s="28" t="n">
        <f aca="false">C48/A48</f>
        <v>0.259130434782609</v>
      </c>
      <c r="E48" s="24" t="n">
        <f aca="false">A48/(1-הנחות!$B$15)*(1+הנחות!$B$13)</f>
        <v>10.1775</v>
      </c>
    </row>
    <row r="49" customFormat="false" ht="15" hidden="false" customHeight="false" outlineLevel="0" collapsed="false">
      <c r="A49" s="79" t="n">
        <v>7.5</v>
      </c>
      <c r="B49" s="24" t="n">
        <f aca="false">A49*(1-הנחות!$B$16)</f>
        <v>6.15</v>
      </c>
      <c r="C49" s="24" t="n">
        <f aca="false">A49*(1-הנחות!$B$16)-הנחות!$B$9</f>
        <v>2.28</v>
      </c>
      <c r="D49" s="28" t="n">
        <f aca="false">C49/A49</f>
        <v>0.304</v>
      </c>
      <c r="E49" s="24" t="n">
        <f aca="false">A49/(1-הנחות!$B$15)*(1+הנחות!$B$13)</f>
        <v>11.0625</v>
      </c>
    </row>
    <row r="50" customFormat="false" ht="15" hidden="false" customHeight="false" outlineLevel="0" collapsed="false">
      <c r="A50" s="79" t="n">
        <v>8</v>
      </c>
      <c r="B50" s="24" t="n">
        <f aca="false">A50*(1-הנחות!$B$16)</f>
        <v>6.56</v>
      </c>
      <c r="C50" s="24" t="n">
        <f aca="false">A50*(1-הנחות!$B$16)-הנחות!$B$9</f>
        <v>2.69</v>
      </c>
      <c r="D50" s="28" t="n">
        <f aca="false">C50/A50</f>
        <v>0.33625</v>
      </c>
      <c r="E50" s="24" t="n">
        <f aca="false">A50/(1-הנחות!$B$15)*(1+הנחות!$B$13)</f>
        <v>11.8</v>
      </c>
    </row>
    <row r="51" customFormat="false" ht="15" hidden="false" customHeight="false" outlineLevel="0" collapsed="false">
      <c r="A51" s="79" t="n">
        <v>8.5</v>
      </c>
      <c r="B51" s="24" t="n">
        <f aca="false">A51*(1-הנחות!$B$16)</f>
        <v>6.97</v>
      </c>
      <c r="C51" s="24" t="n">
        <f aca="false">A51*(1-הנחות!$B$16)-הנחות!$B$9</f>
        <v>3.1</v>
      </c>
      <c r="D51" s="28" t="n">
        <f aca="false">C51/A51</f>
        <v>0.364705882352941</v>
      </c>
      <c r="E51" s="24" t="n">
        <f aca="false">A51/(1-הנחות!$B$15)*(1+הנחות!$B$13)</f>
        <v>12.5375</v>
      </c>
    </row>
  </sheetData>
  <mergeCells count="9">
    <mergeCell ref="A1:E1"/>
    <mergeCell ref="A2:E2"/>
    <mergeCell ref="A4:E4"/>
    <mergeCell ref="A13:E13"/>
    <mergeCell ref="A17:E17"/>
    <mergeCell ref="A22:E22"/>
    <mergeCell ref="B23:E23"/>
    <mergeCell ref="B33:E33"/>
    <mergeCell ref="B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0AF"/>
    <pageSetUpPr fitToPage="false"/>
  </sheetPr>
  <dimension ref="A1:J5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153" t="s">
        <v>258</v>
      </c>
      <c r="B1" s="153"/>
      <c r="C1" s="153"/>
      <c r="D1" s="153"/>
      <c r="E1" s="153"/>
      <c r="F1" s="153"/>
      <c r="G1" s="153"/>
      <c r="H1" s="153"/>
      <c r="I1" s="153"/>
      <c r="J1" s="153"/>
    </row>
    <row r="2" customFormat="false" ht="19.5" hidden="false" customHeight="true" outlineLevel="0" collapsed="false">
      <c r="A2" s="2" t="s">
        <v>259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3" t="s">
        <v>260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261</v>
      </c>
      <c r="B5" s="6" t="s">
        <v>262</v>
      </c>
      <c r="C5" s="6" t="s">
        <v>263</v>
      </c>
      <c r="D5" s="7" t="s">
        <v>264</v>
      </c>
      <c r="E5" s="154" t="s">
        <v>46</v>
      </c>
      <c r="F5" s="154"/>
      <c r="G5" s="154"/>
      <c r="H5" s="154"/>
      <c r="I5" s="154"/>
      <c r="J5" s="154"/>
    </row>
    <row r="6" customFormat="false" ht="27.75" hidden="false" customHeight="true" outlineLevel="0" collapsed="false">
      <c r="A6" s="8" t="s">
        <v>265</v>
      </c>
      <c r="B6" s="94" t="s">
        <v>266</v>
      </c>
      <c r="C6" s="94" t="s">
        <v>267</v>
      </c>
      <c r="D6" s="66" t="s">
        <v>268</v>
      </c>
      <c r="E6" s="65" t="s">
        <v>269</v>
      </c>
      <c r="F6" s="65"/>
      <c r="G6" s="65"/>
      <c r="H6" s="65"/>
      <c r="I6" s="65"/>
      <c r="J6" s="65"/>
    </row>
    <row r="7" customFormat="false" ht="27.75" hidden="false" customHeight="true" outlineLevel="0" collapsed="false">
      <c r="A7" s="8" t="s">
        <v>270</v>
      </c>
      <c r="B7" s="94" t="s">
        <v>271</v>
      </c>
      <c r="C7" s="94" t="s">
        <v>272</v>
      </c>
      <c r="D7" s="66" t="s">
        <v>273</v>
      </c>
      <c r="E7" s="65" t="s">
        <v>274</v>
      </c>
      <c r="F7" s="65"/>
      <c r="G7" s="65"/>
      <c r="H7" s="65"/>
      <c r="I7" s="65"/>
      <c r="J7" s="65"/>
    </row>
    <row r="8" customFormat="false" ht="27.75" hidden="false" customHeight="true" outlineLevel="0" collapsed="false">
      <c r="A8" s="8" t="s">
        <v>275</v>
      </c>
      <c r="B8" s="94" t="s">
        <v>276</v>
      </c>
      <c r="C8" s="94" t="s">
        <v>277</v>
      </c>
      <c r="D8" s="66" t="s">
        <v>278</v>
      </c>
      <c r="E8" s="65" t="s">
        <v>279</v>
      </c>
      <c r="F8" s="65"/>
      <c r="G8" s="65"/>
      <c r="H8" s="65"/>
      <c r="I8" s="65"/>
      <c r="J8" s="65"/>
    </row>
    <row r="10" customFormat="false" ht="24" hidden="false" customHeight="true" outlineLevel="0" collapsed="false">
      <c r="A10" s="3" t="s">
        <v>280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30" hidden="false" customHeight="true" outlineLevel="0" collapsed="false">
      <c r="A11" s="4" t="s">
        <v>281</v>
      </c>
      <c r="B11" s="6" t="s">
        <v>282</v>
      </c>
      <c r="C11" s="6" t="s">
        <v>261</v>
      </c>
      <c r="D11" s="6" t="s">
        <v>283</v>
      </c>
      <c r="E11" s="6" t="s">
        <v>20</v>
      </c>
      <c r="F11" s="6" t="s">
        <v>284</v>
      </c>
      <c r="G11" s="6" t="s">
        <v>285</v>
      </c>
      <c r="H11" s="6" t="s">
        <v>286</v>
      </c>
      <c r="I11" s="6" t="s">
        <v>21</v>
      </c>
      <c r="J11" s="6" t="s">
        <v>287</v>
      </c>
    </row>
    <row r="12" customFormat="false" ht="15" hidden="false" customHeight="false" outlineLevel="0" collapsed="false">
      <c r="A12" s="122" t="s">
        <v>288</v>
      </c>
      <c r="B12" s="155" t="n">
        <v>1</v>
      </c>
      <c r="C12" s="156" t="s">
        <v>289</v>
      </c>
      <c r="D12" s="157" t="n">
        <f aca="false">0.08*הנחות!$B$42</f>
        <v>0.008</v>
      </c>
      <c r="E12" s="158" t="n">
        <f aca="false">(הנחות!$B$22/12)*D12/(הנחות!$B$41/(1-הנחות!$B$15)*(1+הנחות!$B$13))</f>
        <v>20313.5910620199</v>
      </c>
      <c r="F12" s="159" t="n">
        <f aca="false">E12*הנחות!$B$41</f>
        <v>180790.960451977</v>
      </c>
      <c r="G12" s="160" t="n">
        <f aca="false">F12*הנחות!$B$16</f>
        <v>32542.3728813559</v>
      </c>
      <c r="H12" s="63" t="n">
        <f aca="false">F12-G12</f>
        <v>148248.587570622</v>
      </c>
      <c r="I12" s="159" t="n">
        <f aca="false">H12-E12*הנחות!$B$7</f>
        <v>30328.1914555958</v>
      </c>
      <c r="J12" s="157" t="n">
        <f aca="false">IFERROR(I12/F12,0)</f>
        <v>0.167752808988764</v>
      </c>
    </row>
    <row r="13" customFormat="false" ht="15" hidden="false" customHeight="false" outlineLevel="0" collapsed="false">
      <c r="A13" s="90" t="s">
        <v>290</v>
      </c>
      <c r="B13" s="161" t="n">
        <v>2</v>
      </c>
      <c r="C13" s="162" t="s">
        <v>289</v>
      </c>
      <c r="D13" s="14" t="n">
        <f aca="false">0.18*הנחות!$B$42</f>
        <v>0.018</v>
      </c>
      <c r="E13" s="163" t="n">
        <f aca="false">(הנחות!$B$22/12)*D13/(הנחות!$B$41/(1-הנחות!$B$15)*(1+הנחות!$B$13))</f>
        <v>45705.5798895448</v>
      </c>
      <c r="F13" s="11" t="n">
        <f aca="false">E13*הנחות!$B$41</f>
        <v>406779.661016949</v>
      </c>
      <c r="G13" s="164" t="n">
        <f aca="false">F13*הנחות!$B$16</f>
        <v>73220.3389830508</v>
      </c>
      <c r="H13" s="30" t="n">
        <f aca="false">F13-G13</f>
        <v>333559.322033898</v>
      </c>
      <c r="I13" s="11" t="n">
        <f aca="false">H13-E13*הנחות!$B$7</f>
        <v>68238.4307750905</v>
      </c>
      <c r="J13" s="14" t="n">
        <f aca="false">IFERROR(I13/F13,0)</f>
        <v>0.167752808988764</v>
      </c>
    </row>
    <row r="14" customFormat="false" ht="15" hidden="false" customHeight="false" outlineLevel="0" collapsed="false">
      <c r="A14" s="122" t="s">
        <v>291</v>
      </c>
      <c r="B14" s="155" t="n">
        <v>3</v>
      </c>
      <c r="C14" s="156" t="s">
        <v>289</v>
      </c>
      <c r="D14" s="157" t="n">
        <f aca="false">0.3*הנחות!$B$42</f>
        <v>0.03</v>
      </c>
      <c r="E14" s="158" t="n">
        <f aca="false">(הנחות!$B$22/12)*D14/(הנחות!$B$41/(1-הנחות!$B$15)*(1+הנחות!$B$13))</f>
        <v>76175.9664825748</v>
      </c>
      <c r="F14" s="159" t="n">
        <f aca="false">E14*הנחות!$B$41</f>
        <v>677966.101694915</v>
      </c>
      <c r="G14" s="160" t="n">
        <f aca="false">F14*הנחות!$B$16</f>
        <v>122033.898305085</v>
      </c>
      <c r="H14" s="63" t="n">
        <f aca="false">F14-G14</f>
        <v>555932.20338983</v>
      </c>
      <c r="I14" s="159" t="n">
        <f aca="false">H14-E14*הנחות!$B$7</f>
        <v>113730.717958484</v>
      </c>
      <c r="J14" s="157" t="n">
        <f aca="false">IFERROR(I14/F14,0)</f>
        <v>0.167752808988764</v>
      </c>
    </row>
    <row r="15" customFormat="false" ht="15" hidden="false" customHeight="false" outlineLevel="0" collapsed="false">
      <c r="A15" s="90" t="s">
        <v>292</v>
      </c>
      <c r="B15" s="161" t="n">
        <v>4</v>
      </c>
      <c r="C15" s="162" t="s">
        <v>289</v>
      </c>
      <c r="D15" s="14" t="n">
        <f aca="false">0.45*הנחות!$B$42</f>
        <v>0.045</v>
      </c>
      <c r="E15" s="163" t="n">
        <f aca="false">(הנחות!$B$22/12)*D15/(הנחות!$B$41/(1-הנחות!$B$15)*(1+הנחות!$B$13))</f>
        <v>114263.949723862</v>
      </c>
      <c r="F15" s="11" t="n">
        <f aca="false">E15*הנחות!$B$41</f>
        <v>1016949.15254237</v>
      </c>
      <c r="G15" s="164" t="n">
        <f aca="false">F15*הנחות!$B$16</f>
        <v>183050.847457627</v>
      </c>
      <c r="H15" s="30" t="n">
        <f aca="false">F15-G15</f>
        <v>833898.305084746</v>
      </c>
      <c r="I15" s="11" t="n">
        <f aca="false">H15-E15*הנחות!$B$7</f>
        <v>170596.076937726</v>
      </c>
      <c r="J15" s="14" t="n">
        <f aca="false">IFERROR(I15/F15,0)</f>
        <v>0.167752808988764</v>
      </c>
    </row>
    <row r="16" customFormat="false" ht="15" hidden="false" customHeight="false" outlineLevel="0" collapsed="false">
      <c r="A16" s="122" t="s">
        <v>293</v>
      </c>
      <c r="B16" s="155" t="n">
        <v>5</v>
      </c>
      <c r="C16" s="156" t="s">
        <v>289</v>
      </c>
      <c r="D16" s="157" t="n">
        <f aca="false">0.6*הנחות!$B$42</f>
        <v>0.06</v>
      </c>
      <c r="E16" s="158" t="n">
        <f aca="false">(הנחות!$B$22/12)*D16/(הנחות!$B$41/(1-הנחות!$B$15)*(1+הנחות!$B$13))</f>
        <v>152351.93296515</v>
      </c>
      <c r="F16" s="159" t="n">
        <f aca="false">E16*הנחות!$B$41</f>
        <v>1355932.20338983</v>
      </c>
      <c r="G16" s="160" t="n">
        <f aca="false">F16*הנחות!$B$16</f>
        <v>244067.796610169</v>
      </c>
      <c r="H16" s="63" t="n">
        <f aca="false">F16-G16</f>
        <v>1111864.40677966</v>
      </c>
      <c r="I16" s="159" t="n">
        <f aca="false">H16-E16*הנחות!$B$7</f>
        <v>227461.435916968</v>
      </c>
      <c r="J16" s="157" t="n">
        <f aca="false">IFERROR(I16/F16,0)</f>
        <v>0.167752808988764</v>
      </c>
    </row>
    <row r="17" customFormat="false" ht="15" hidden="false" customHeight="false" outlineLevel="0" collapsed="false">
      <c r="A17" s="90" t="s">
        <v>294</v>
      </c>
      <c r="B17" s="161" t="n">
        <v>6</v>
      </c>
      <c r="C17" s="162" t="s">
        <v>289</v>
      </c>
      <c r="D17" s="14" t="n">
        <f aca="false">0.72*הנחות!$B$42</f>
        <v>0.072</v>
      </c>
      <c r="E17" s="163" t="n">
        <f aca="false">(הנחות!$B$22/12)*D17/(הנחות!$B$41/(1-הנחות!$B$15)*(1+הנחות!$B$13))</f>
        <v>182822.319558179</v>
      </c>
      <c r="F17" s="11" t="n">
        <f aca="false">E17*הנחות!$B$41</f>
        <v>1627118.6440678</v>
      </c>
      <c r="G17" s="164" t="n">
        <f aca="false">F17*הנחות!$B$16</f>
        <v>292881.355932203</v>
      </c>
      <c r="H17" s="30" t="n">
        <f aca="false">F17-G17</f>
        <v>1334237.28813559</v>
      </c>
      <c r="I17" s="11" t="n">
        <f aca="false">H17-E17*הנחות!$B$7</f>
        <v>272953.723100362</v>
      </c>
      <c r="J17" s="14" t="n">
        <f aca="false">IFERROR(I17/F17,0)</f>
        <v>0.167752808988764</v>
      </c>
    </row>
    <row r="18" customFormat="false" ht="15" hidden="false" customHeight="false" outlineLevel="0" collapsed="false">
      <c r="A18" s="122" t="s">
        <v>295</v>
      </c>
      <c r="B18" s="155" t="n">
        <v>7</v>
      </c>
      <c r="C18" s="156" t="s">
        <v>296</v>
      </c>
      <c r="D18" s="157" t="n">
        <f aca="false">0.82*הנחות!$B$42</f>
        <v>0.082</v>
      </c>
      <c r="E18" s="158" t="n">
        <f aca="false">(הנחות!$B$22/12)*D18/(הנחות!$B$41/(1-הנחות!$B$15)*(1+הנחות!$B$13))</f>
        <v>208214.308385704</v>
      </c>
      <c r="F18" s="159" t="n">
        <f aca="false">E18*הנחות!$B$41</f>
        <v>1853107.34463277</v>
      </c>
      <c r="G18" s="160" t="n">
        <f aca="false">F18*הנחות!$B$16</f>
        <v>333559.322033898</v>
      </c>
      <c r="H18" s="63" t="n">
        <f aca="false">F18-G18</f>
        <v>1519548.02259887</v>
      </c>
      <c r="I18" s="159" t="n">
        <f aca="false">H18-E18*הנחות!$B$7</f>
        <v>310863.962419857</v>
      </c>
      <c r="J18" s="157" t="n">
        <f aca="false">IFERROR(I18/F18,0)</f>
        <v>0.167752808988764</v>
      </c>
    </row>
    <row r="19" customFormat="false" ht="15" hidden="false" customHeight="false" outlineLevel="0" collapsed="false">
      <c r="A19" s="90" t="s">
        <v>297</v>
      </c>
      <c r="B19" s="161" t="n">
        <v>8</v>
      </c>
      <c r="C19" s="162" t="s">
        <v>296</v>
      </c>
      <c r="D19" s="14" t="n">
        <f aca="false">0.88*הנחות!$B$42</f>
        <v>0.088</v>
      </c>
      <c r="E19" s="163" t="n">
        <f aca="false">(הנחות!$B$22/12)*D19/(הנחות!$B$41/(1-הנחות!$B$15)*(1+הנחות!$B$13))</f>
        <v>223449.501682219</v>
      </c>
      <c r="F19" s="11" t="n">
        <f aca="false">E19*הנחות!$B$41</f>
        <v>1988700.56497175</v>
      </c>
      <c r="G19" s="164" t="n">
        <f aca="false">F19*הנחות!$B$16</f>
        <v>357966.101694915</v>
      </c>
      <c r="H19" s="30" t="n">
        <f aca="false">F19-G19</f>
        <v>1630734.46327684</v>
      </c>
      <c r="I19" s="11" t="n">
        <f aca="false">H19-E19*הנחות!$B$7</f>
        <v>333610.106011553</v>
      </c>
      <c r="J19" s="14" t="n">
        <f aca="false">IFERROR(I19/F19,0)</f>
        <v>0.167752808988764</v>
      </c>
    </row>
    <row r="20" customFormat="false" ht="15" hidden="false" customHeight="false" outlineLevel="0" collapsed="false">
      <c r="A20" s="122" t="s">
        <v>298</v>
      </c>
      <c r="B20" s="155" t="n">
        <v>9</v>
      </c>
      <c r="C20" s="156" t="s">
        <v>296</v>
      </c>
      <c r="D20" s="157" t="n">
        <f aca="false">0.92*הנחות!$B$42</f>
        <v>0.092</v>
      </c>
      <c r="E20" s="158" t="n">
        <f aca="false">(הנחות!$B$22/12)*D20/(הנחות!$B$41/(1-הנחות!$B$15)*(1+הנחות!$B$13))</f>
        <v>233606.297213229</v>
      </c>
      <c r="F20" s="159" t="n">
        <f aca="false">E20*הנחות!$B$41</f>
        <v>2079096.04519774</v>
      </c>
      <c r="G20" s="160" t="n">
        <f aca="false">F20*הנחות!$B$16</f>
        <v>374237.288135593</v>
      </c>
      <c r="H20" s="63" t="n">
        <f aca="false">F20-G20</f>
        <v>1704858.75706215</v>
      </c>
      <c r="I20" s="159" t="n">
        <f aca="false">H20-E20*הנחות!$B$7</f>
        <v>348774.201739351</v>
      </c>
      <c r="J20" s="157" t="n">
        <f aca="false">IFERROR(I20/F20,0)</f>
        <v>0.167752808988764</v>
      </c>
    </row>
    <row r="21" customFormat="false" ht="15" hidden="false" customHeight="false" outlineLevel="0" collapsed="false">
      <c r="A21" s="90" t="s">
        <v>299</v>
      </c>
      <c r="B21" s="161" t="n">
        <v>10</v>
      </c>
      <c r="C21" s="162" t="s">
        <v>296</v>
      </c>
      <c r="D21" s="14" t="n">
        <f aca="false">0.95*הנחות!$B$42</f>
        <v>0.095</v>
      </c>
      <c r="E21" s="163" t="n">
        <f aca="false">(הנחות!$B$22/12)*D21/(הנחות!$B$41/(1-הנחות!$B$15)*(1+הנחות!$B$13))</f>
        <v>241223.893861487</v>
      </c>
      <c r="F21" s="11" t="n">
        <f aca="false">E21*הנחות!$B$41</f>
        <v>2146892.65536723</v>
      </c>
      <c r="G21" s="164" t="n">
        <f aca="false">F21*הנחות!$B$16</f>
        <v>386440.677966102</v>
      </c>
      <c r="H21" s="30" t="n">
        <f aca="false">F21-G21</f>
        <v>1760451.97740113</v>
      </c>
      <c r="I21" s="11" t="n">
        <f aca="false">H21-E21*הנחות!$B$7</f>
        <v>360147.2735352</v>
      </c>
      <c r="J21" s="14" t="n">
        <f aca="false">IFERROR(I21/F21,0)</f>
        <v>0.167752808988764</v>
      </c>
    </row>
    <row r="22" customFormat="false" ht="15" hidden="false" customHeight="false" outlineLevel="0" collapsed="false">
      <c r="A22" s="122" t="s">
        <v>300</v>
      </c>
      <c r="B22" s="155" t="n">
        <v>11</v>
      </c>
      <c r="C22" s="156" t="s">
        <v>296</v>
      </c>
      <c r="D22" s="157" t="n">
        <f aca="false">0.98*הנחות!$B$42</f>
        <v>0.098</v>
      </c>
      <c r="E22" s="158" t="n">
        <f aca="false">(הנחות!$B$22/12)*D22/(הנחות!$B$41/(1-הנחות!$B$15)*(1+הנחות!$B$13))</f>
        <v>248841.490509744</v>
      </c>
      <c r="F22" s="159" t="n">
        <f aca="false">E22*הנחות!$B$41</f>
        <v>2214689.26553672</v>
      </c>
      <c r="G22" s="160" t="n">
        <f aca="false">F22*הנחות!$B$16</f>
        <v>398644.06779661</v>
      </c>
      <c r="H22" s="63" t="n">
        <f aca="false">F22-G22</f>
        <v>1816045.19774011</v>
      </c>
      <c r="I22" s="159" t="n">
        <f aca="false">H22-E22*הנחות!$B$7</f>
        <v>371520.345331048</v>
      </c>
      <c r="J22" s="157" t="n">
        <f aca="false">IFERROR(I22/F22,0)</f>
        <v>0.167752808988764</v>
      </c>
    </row>
    <row r="23" customFormat="false" ht="15" hidden="false" customHeight="false" outlineLevel="0" collapsed="false">
      <c r="A23" s="90" t="s">
        <v>301</v>
      </c>
      <c r="B23" s="161" t="n">
        <v>12</v>
      </c>
      <c r="C23" s="162" t="s">
        <v>296</v>
      </c>
      <c r="D23" s="14" t="n">
        <f aca="false">1*הנחות!$B$42</f>
        <v>0.1</v>
      </c>
      <c r="E23" s="163" t="n">
        <f aca="false">(הנחות!$B$22/12)*D23/(הנחות!$B$41/(1-הנחות!$B$15)*(1+הנחות!$B$13))</f>
        <v>253919.888275249</v>
      </c>
      <c r="F23" s="11" t="n">
        <f aca="false">E23*הנחות!$B$41</f>
        <v>2259887.00564972</v>
      </c>
      <c r="G23" s="164" t="n">
        <f aca="false">F23*הנחות!$B$16</f>
        <v>406779.661016949</v>
      </c>
      <c r="H23" s="30" t="n">
        <f aca="false">F23-G23</f>
        <v>1853107.34463277</v>
      </c>
      <c r="I23" s="11" t="n">
        <f aca="false">H23-E23*הנחות!$B$7</f>
        <v>379102.393194947</v>
      </c>
      <c r="J23" s="14" t="n">
        <f aca="false">IFERROR(I23/F23,0)</f>
        <v>0.167752808988764</v>
      </c>
    </row>
    <row r="24" customFormat="false" ht="24" hidden="false" customHeight="true" outlineLevel="0" collapsed="false">
      <c r="A24" s="165" t="s">
        <v>302</v>
      </c>
      <c r="B24" s="165"/>
      <c r="C24" s="165"/>
      <c r="D24" s="165"/>
      <c r="E24" s="165"/>
      <c r="F24" s="165"/>
      <c r="G24" s="165"/>
      <c r="H24" s="165"/>
      <c r="I24" s="165"/>
      <c r="J24" s="165"/>
    </row>
    <row r="25" customFormat="false" ht="15" hidden="false" customHeight="false" outlineLevel="0" collapsed="false">
      <c r="A25" s="4" t="s">
        <v>303</v>
      </c>
      <c r="B25" s="6" t="s">
        <v>262</v>
      </c>
      <c r="C25" s="6" t="s">
        <v>20</v>
      </c>
      <c r="D25" s="6" t="s">
        <v>284</v>
      </c>
      <c r="E25" s="6" t="s">
        <v>21</v>
      </c>
      <c r="F25" s="6" t="s">
        <v>287</v>
      </c>
      <c r="G25" s="154" t="s">
        <v>304</v>
      </c>
      <c r="H25" s="154"/>
      <c r="I25" s="154"/>
      <c r="J25" s="154"/>
    </row>
    <row r="26" customFormat="false" ht="15" hidden="false" customHeight="false" outlineLevel="0" collapsed="false">
      <c r="A26" s="8" t="s">
        <v>305</v>
      </c>
      <c r="B26" s="93" t="s">
        <v>306</v>
      </c>
      <c r="C26" s="163" t="n">
        <f aca="false">SUM(E12:E14)</f>
        <v>142195.13743414</v>
      </c>
      <c r="D26" s="166" t="n">
        <f aca="false">SUM(F12:F14)</f>
        <v>1265536.72316384</v>
      </c>
      <c r="E26" s="11" t="n">
        <f aca="false">SUM(I12:I14)</f>
        <v>212297.34018917</v>
      </c>
      <c r="F26" s="14" t="n">
        <f aca="false">IFERROR(E26/D26,0)</f>
        <v>0.167752808988764</v>
      </c>
      <c r="G26" s="127"/>
      <c r="H26" s="127"/>
      <c r="I26" s="127"/>
      <c r="J26" s="127"/>
    </row>
    <row r="27" customFormat="false" ht="15" hidden="false" customHeight="false" outlineLevel="0" collapsed="false">
      <c r="A27" s="8" t="s">
        <v>307</v>
      </c>
      <c r="B27" s="93" t="s">
        <v>308</v>
      </c>
      <c r="C27" s="163" t="n">
        <f aca="false">SUM(E15:E17)</f>
        <v>449438.202247191</v>
      </c>
      <c r="D27" s="166" t="n">
        <f aca="false">SUM(F15:F17)</f>
        <v>4000000</v>
      </c>
      <c r="E27" s="11" t="n">
        <f aca="false">SUM(I15:I17)</f>
        <v>671011.235955056</v>
      </c>
      <c r="F27" s="14" t="n">
        <f aca="false">IFERROR(E27/D27,0)</f>
        <v>0.167752808988764</v>
      </c>
      <c r="G27" s="127"/>
      <c r="H27" s="127"/>
      <c r="I27" s="127"/>
      <c r="J27" s="127"/>
    </row>
    <row r="28" customFormat="false" ht="15" hidden="false" customHeight="false" outlineLevel="0" collapsed="false">
      <c r="A28" s="8" t="s">
        <v>309</v>
      </c>
      <c r="B28" s="93" t="s">
        <v>310</v>
      </c>
      <c r="C28" s="163" t="n">
        <f aca="false">SUM(E18:E20)</f>
        <v>665270.107281153</v>
      </c>
      <c r="D28" s="166" t="n">
        <f aca="false">SUM(F18:F20)</f>
        <v>5920903.95480226</v>
      </c>
      <c r="E28" s="11" t="n">
        <f aca="false">SUM(I18:I20)</f>
        <v>993248.270170761</v>
      </c>
      <c r="F28" s="14" t="n">
        <f aca="false">IFERROR(E28/D28,0)</f>
        <v>0.167752808988764</v>
      </c>
      <c r="G28" s="127"/>
      <c r="H28" s="127"/>
      <c r="I28" s="127"/>
      <c r="J28" s="127"/>
    </row>
    <row r="29" customFormat="false" ht="15" hidden="false" customHeight="false" outlineLevel="0" collapsed="false">
      <c r="A29" s="8" t="s">
        <v>311</v>
      </c>
      <c r="B29" s="93" t="s">
        <v>312</v>
      </c>
      <c r="C29" s="163" t="n">
        <f aca="false">SUM(E21:E23)</f>
        <v>743985.27264648</v>
      </c>
      <c r="D29" s="166" t="n">
        <f aca="false">SUM(F21:F23)</f>
        <v>6621468.92655367</v>
      </c>
      <c r="E29" s="11" t="n">
        <f aca="false">SUM(I21:I23)</f>
        <v>1110770.0120612</v>
      </c>
      <c r="F29" s="14" t="n">
        <f aca="false">IFERROR(E29/D29,0)</f>
        <v>0.167752808988764</v>
      </c>
      <c r="G29" s="127"/>
      <c r="H29" s="127"/>
      <c r="I29" s="127"/>
      <c r="J29" s="127"/>
    </row>
    <row r="31" customFormat="false" ht="27.75" hidden="false" customHeight="true" outlineLevel="0" collapsed="false">
      <c r="A31" s="167" t="s">
        <v>313</v>
      </c>
      <c r="B31" s="168"/>
      <c r="C31" s="168"/>
      <c r="D31" s="168"/>
      <c r="E31" s="169" t="n">
        <f aca="false">SUM(E12:E23)</f>
        <v>2000888.71960896</v>
      </c>
      <c r="F31" s="170" t="n">
        <f aca="false">SUM(F12:F23)</f>
        <v>17807909.6045198</v>
      </c>
      <c r="G31" s="171" t="n">
        <f aca="false">SUM(G12:G23)</f>
        <v>3205423.72881356</v>
      </c>
      <c r="H31" s="172" t="n">
        <f aca="false">SUM(H12:H23)</f>
        <v>14602485.8757062</v>
      </c>
      <c r="I31" s="170" t="n">
        <f aca="false">SUM(I12:I23)</f>
        <v>2987326.85837618</v>
      </c>
      <c r="J31" s="173" t="n">
        <f aca="false">IFERROR(I31/F31,0)</f>
        <v>0.167752808988764</v>
      </c>
    </row>
    <row r="33" customFormat="false" ht="24" hidden="false" customHeight="true" outlineLevel="0" collapsed="false">
      <c r="A33" s="3" t="s">
        <v>314</v>
      </c>
      <c r="B33" s="3"/>
      <c r="C33" s="3"/>
      <c r="D33" s="3"/>
      <c r="E33" s="3"/>
      <c r="F33" s="3"/>
      <c r="G33" s="3"/>
      <c r="H33" s="3"/>
      <c r="I33" s="3"/>
      <c r="J33" s="3"/>
    </row>
    <row r="34" customFormat="false" ht="30" hidden="false" customHeight="true" outlineLevel="0" collapsed="false">
      <c r="A34" s="4" t="s">
        <v>281</v>
      </c>
      <c r="B34" s="6" t="s">
        <v>282</v>
      </c>
      <c r="C34" s="6" t="s">
        <v>261</v>
      </c>
      <c r="D34" s="6" t="s">
        <v>283</v>
      </c>
      <c r="E34" s="6" t="s">
        <v>20</v>
      </c>
      <c r="F34" s="6" t="s">
        <v>284</v>
      </c>
      <c r="G34" s="6" t="s">
        <v>285</v>
      </c>
      <c r="H34" s="6" t="s">
        <v>286</v>
      </c>
      <c r="I34" s="6" t="s">
        <v>21</v>
      </c>
      <c r="J34" s="6" t="s">
        <v>287</v>
      </c>
    </row>
    <row r="35" customFormat="false" ht="15" hidden="false" customHeight="false" outlineLevel="0" collapsed="false">
      <c r="A35" s="122" t="s">
        <v>315</v>
      </c>
      <c r="B35" s="155" t="n">
        <v>13</v>
      </c>
      <c r="C35" s="156" t="s">
        <v>296</v>
      </c>
      <c r="D35" s="157" t="n">
        <f aca="false">הנחות!$B$42+(הנחות!$B$43-הנחות!$B$42)*0.0833333333333333</f>
        <v>0.104166666666667</v>
      </c>
      <c r="E35" s="158" t="n">
        <f aca="false">(הנחות!$B$22/12)*D35/(הנחות!$B$41/(1-הנחות!$B$15)*(1+הנחות!$B$13))</f>
        <v>264499.883620051</v>
      </c>
      <c r="F35" s="159" t="n">
        <f aca="false">E35*הנחות!$B$41</f>
        <v>2354048.96421846</v>
      </c>
      <c r="G35" s="160" t="n">
        <f aca="false">F35*הנחות!$B$16</f>
        <v>423728.813559322</v>
      </c>
      <c r="H35" s="63" t="n">
        <f aca="false">F35-G35</f>
        <v>1930320.15065913</v>
      </c>
      <c r="I35" s="159" t="n">
        <f aca="false">H35-E35*הנחות!$B$7</f>
        <v>394898.326244737</v>
      </c>
      <c r="J35" s="157" t="n">
        <f aca="false">IFERROR(I35/F35,0)</f>
        <v>0.167752808988764</v>
      </c>
    </row>
    <row r="36" customFormat="false" ht="15" hidden="false" customHeight="false" outlineLevel="0" collapsed="false">
      <c r="A36" s="90" t="s">
        <v>316</v>
      </c>
      <c r="B36" s="161" t="n">
        <v>14</v>
      </c>
      <c r="C36" s="162" t="s">
        <v>296</v>
      </c>
      <c r="D36" s="14" t="n">
        <f aca="false">הנחות!$B$42+(הנחות!$B$43-הנחות!$B$42)*0.166666666666667</f>
        <v>0.108333333333333</v>
      </c>
      <c r="E36" s="163" t="n">
        <f aca="false">(הנחות!$B$22/12)*D36/(הנחות!$B$41/(1-הנחות!$B$15)*(1+הנחות!$B$13))</f>
        <v>275079.878964853</v>
      </c>
      <c r="F36" s="11" t="n">
        <f aca="false">E36*הנחות!$B$41</f>
        <v>2448210.92278719</v>
      </c>
      <c r="G36" s="164" t="n">
        <f aca="false">F36*הנחות!$B$16</f>
        <v>440677.966101695</v>
      </c>
      <c r="H36" s="30" t="n">
        <f aca="false">F36-G36</f>
        <v>2007532.9566855</v>
      </c>
      <c r="I36" s="11" t="n">
        <f aca="false">H36-E36*הנחות!$B$7</f>
        <v>410694.259294526</v>
      </c>
      <c r="J36" s="14" t="n">
        <f aca="false">IFERROR(I36/F36,0)</f>
        <v>0.167752808988764</v>
      </c>
    </row>
    <row r="37" customFormat="false" ht="15" hidden="false" customHeight="false" outlineLevel="0" collapsed="false">
      <c r="A37" s="122" t="s">
        <v>317</v>
      </c>
      <c r="B37" s="155" t="n">
        <v>15</v>
      </c>
      <c r="C37" s="156" t="s">
        <v>296</v>
      </c>
      <c r="D37" s="157" t="n">
        <f aca="false">הנחות!$B$42+(הנחות!$B$43-הנחות!$B$42)*0.25</f>
        <v>0.1125</v>
      </c>
      <c r="E37" s="158" t="n">
        <f aca="false">(הנחות!$B$22/12)*D37/(הנחות!$B$41/(1-הנחות!$B$15)*(1+הנחות!$B$13))</f>
        <v>285659.874309655</v>
      </c>
      <c r="F37" s="159" t="n">
        <f aca="false">E37*הנחות!$B$41</f>
        <v>2542372.88135593</v>
      </c>
      <c r="G37" s="160" t="n">
        <f aca="false">F37*הנחות!$B$16</f>
        <v>457627.118644068</v>
      </c>
      <c r="H37" s="63" t="n">
        <f aca="false">F37-G37</f>
        <v>2084745.76271186</v>
      </c>
      <c r="I37" s="159" t="n">
        <f aca="false">H37-E37*הנחות!$B$7</f>
        <v>426490.192344316</v>
      </c>
      <c r="J37" s="157" t="n">
        <f aca="false">IFERROR(I37/F37,0)</f>
        <v>0.167752808988764</v>
      </c>
    </row>
    <row r="38" customFormat="false" ht="15" hidden="false" customHeight="false" outlineLevel="0" collapsed="false">
      <c r="A38" s="90" t="s">
        <v>318</v>
      </c>
      <c r="B38" s="161" t="n">
        <v>16</v>
      </c>
      <c r="C38" s="162" t="s">
        <v>296</v>
      </c>
      <c r="D38" s="14" t="n">
        <f aca="false">הנחות!$B$42+(הנחות!$B$43-הנחות!$B$42)*0.333333333333333</f>
        <v>0.116666666666667</v>
      </c>
      <c r="E38" s="163" t="n">
        <f aca="false">(הנחות!$B$22/12)*D38/(הנחות!$B$41/(1-הנחות!$B$15)*(1+הנחות!$B$13))</f>
        <v>296239.869654457</v>
      </c>
      <c r="F38" s="11" t="n">
        <f aca="false">E38*הנחות!$B$41</f>
        <v>2636534.83992467</v>
      </c>
      <c r="G38" s="164" t="n">
        <f aca="false">F38*הנחות!$B$16</f>
        <v>474576.271186441</v>
      </c>
      <c r="H38" s="30" t="n">
        <f aca="false">F38-G38</f>
        <v>2161958.56873823</v>
      </c>
      <c r="I38" s="11" t="n">
        <f aca="false">H38-E38*הנחות!$B$7</f>
        <v>442286.125394105</v>
      </c>
      <c r="J38" s="14" t="n">
        <f aca="false">IFERROR(I38/F38,0)</f>
        <v>0.167752808988764</v>
      </c>
    </row>
    <row r="39" customFormat="false" ht="15" hidden="false" customHeight="false" outlineLevel="0" collapsed="false">
      <c r="A39" s="122" t="s">
        <v>319</v>
      </c>
      <c r="B39" s="155" t="n">
        <v>17</v>
      </c>
      <c r="C39" s="156" t="s">
        <v>296</v>
      </c>
      <c r="D39" s="157" t="n">
        <f aca="false">הנחות!$B$42+(הנחות!$B$43-הנחות!$B$42)*0.416666666666667</f>
        <v>0.120833333333333</v>
      </c>
      <c r="E39" s="158" t="n">
        <f aca="false">(הנחות!$B$22/12)*D39/(הנחות!$B$41/(1-הנחות!$B$15)*(1+הנחות!$B$13))</f>
        <v>306819.864999259</v>
      </c>
      <c r="F39" s="159" t="n">
        <f aca="false">E39*הנחות!$B$41</f>
        <v>2730696.79849341</v>
      </c>
      <c r="G39" s="160" t="n">
        <f aca="false">F39*הנחות!$B$16</f>
        <v>491525.423728814</v>
      </c>
      <c r="H39" s="63" t="n">
        <f aca="false">F39-G39</f>
        <v>2239171.3747646</v>
      </c>
      <c r="I39" s="159" t="n">
        <f aca="false">H39-E39*הנחות!$B$7</f>
        <v>458082.058443895</v>
      </c>
      <c r="J39" s="157" t="n">
        <f aca="false">IFERROR(I39/F39,0)</f>
        <v>0.167752808988764</v>
      </c>
    </row>
    <row r="40" customFormat="false" ht="15" hidden="false" customHeight="false" outlineLevel="0" collapsed="false">
      <c r="A40" s="90" t="s">
        <v>320</v>
      </c>
      <c r="B40" s="161" t="n">
        <v>18</v>
      </c>
      <c r="C40" s="162" t="s">
        <v>296</v>
      </c>
      <c r="D40" s="14" t="n">
        <f aca="false">הנחות!$B$42+(הנחות!$B$43-הנחות!$B$42)*0.5</f>
        <v>0.125</v>
      </c>
      <c r="E40" s="163" t="n">
        <f aca="false">(הנחות!$B$22/12)*D40/(הנחות!$B$41/(1-הנחות!$B$15)*(1+הנחות!$B$13))</f>
        <v>317399.860344061</v>
      </c>
      <c r="F40" s="11" t="n">
        <f aca="false">E40*הנחות!$B$41</f>
        <v>2824858.75706215</v>
      </c>
      <c r="G40" s="164" t="n">
        <f aca="false">F40*הנחות!$B$16</f>
        <v>508474.576271186</v>
      </c>
      <c r="H40" s="30" t="n">
        <f aca="false">F40-G40</f>
        <v>2316384.18079096</v>
      </c>
      <c r="I40" s="11" t="n">
        <f aca="false">H40-E40*הנחות!$B$7</f>
        <v>473877.991493684</v>
      </c>
      <c r="J40" s="14" t="n">
        <f aca="false">IFERROR(I40/F40,0)</f>
        <v>0.167752808988764</v>
      </c>
    </row>
    <row r="41" customFormat="false" ht="15" hidden="false" customHeight="false" outlineLevel="0" collapsed="false">
      <c r="A41" s="122" t="s">
        <v>321</v>
      </c>
      <c r="B41" s="155" t="n">
        <v>19</v>
      </c>
      <c r="C41" s="156" t="s">
        <v>322</v>
      </c>
      <c r="D41" s="157" t="n">
        <f aca="false">הנחות!$B$42+(הנחות!$B$43-הנחות!$B$42)*0.583333333333333</f>
        <v>0.129166666666667</v>
      </c>
      <c r="E41" s="158" t="n">
        <f aca="false">(הנחות!$B$22/12)*D41/(הנחות!$B$41/(1-הנחות!$B$15)*(1+הנחות!$B$13))</f>
        <v>327979.855688864</v>
      </c>
      <c r="F41" s="159" t="n">
        <f aca="false">E41*הנחות!$B$41</f>
        <v>2919020.71563089</v>
      </c>
      <c r="G41" s="160" t="n">
        <f aca="false">F41*הנחות!$B$16</f>
        <v>525423.728813559</v>
      </c>
      <c r="H41" s="63" t="n">
        <f aca="false">F41-G41</f>
        <v>2393596.98681733</v>
      </c>
      <c r="I41" s="159" t="n">
        <f aca="false">H41-E41*הנחות!$B$7</f>
        <v>489673.924543474</v>
      </c>
      <c r="J41" s="157" t="n">
        <f aca="false">IFERROR(I41/F41,0)</f>
        <v>0.167752808988764</v>
      </c>
    </row>
    <row r="42" customFormat="false" ht="15" hidden="false" customHeight="false" outlineLevel="0" collapsed="false">
      <c r="A42" s="90" t="s">
        <v>323</v>
      </c>
      <c r="B42" s="161" t="n">
        <v>20</v>
      </c>
      <c r="C42" s="162" t="s">
        <v>322</v>
      </c>
      <c r="D42" s="14" t="n">
        <f aca="false">הנחות!$B$42+(הנחות!$B$43-הנחות!$B$42)*0.666666666666667</f>
        <v>0.133333333333333</v>
      </c>
      <c r="E42" s="163" t="n">
        <f aca="false">(הנחות!$B$22/12)*D42/(הנחות!$B$41/(1-הנחות!$B$15)*(1+הנחות!$B$13))</f>
        <v>338559.851033666</v>
      </c>
      <c r="F42" s="11" t="n">
        <f aca="false">E42*הנחות!$B$41</f>
        <v>3013182.67419962</v>
      </c>
      <c r="G42" s="164" t="n">
        <f aca="false">F42*הנחות!$B$16</f>
        <v>542372.881355932</v>
      </c>
      <c r="H42" s="30" t="n">
        <f aca="false">F42-G42</f>
        <v>2470809.79284369</v>
      </c>
      <c r="I42" s="11" t="n">
        <f aca="false">H42-E42*הנחות!$B$7</f>
        <v>505469.857593263</v>
      </c>
      <c r="J42" s="14" t="n">
        <f aca="false">IFERROR(I42/F42,0)</f>
        <v>0.167752808988764</v>
      </c>
    </row>
    <row r="43" customFormat="false" ht="15" hidden="false" customHeight="false" outlineLevel="0" collapsed="false">
      <c r="A43" s="122" t="s">
        <v>324</v>
      </c>
      <c r="B43" s="155" t="n">
        <v>21</v>
      </c>
      <c r="C43" s="156" t="s">
        <v>322</v>
      </c>
      <c r="D43" s="157" t="n">
        <f aca="false">הנחות!$B$42+(הנחות!$B$43-הנחות!$B$42)*0.75</f>
        <v>0.1375</v>
      </c>
      <c r="E43" s="158" t="n">
        <f aca="false">(הנחות!$B$22/12)*D43/(הנחות!$B$41/(1-הנחות!$B$15)*(1+הנחות!$B$13))</f>
        <v>349139.846378468</v>
      </c>
      <c r="F43" s="159" t="n">
        <f aca="false">E43*הנחות!$B$41</f>
        <v>3107344.63276836</v>
      </c>
      <c r="G43" s="160" t="n">
        <f aca="false">F43*הנחות!$B$16</f>
        <v>559322.033898305</v>
      </c>
      <c r="H43" s="63" t="n">
        <f aca="false">F43-G43</f>
        <v>2548022.59887006</v>
      </c>
      <c r="I43" s="159" t="n">
        <f aca="false">H43-E43*הנחות!$B$7</f>
        <v>521265.790643052</v>
      </c>
      <c r="J43" s="157" t="n">
        <f aca="false">IFERROR(I43/F43,0)</f>
        <v>0.167752808988764</v>
      </c>
    </row>
    <row r="44" customFormat="false" ht="15" hidden="false" customHeight="false" outlineLevel="0" collapsed="false">
      <c r="A44" s="90" t="s">
        <v>325</v>
      </c>
      <c r="B44" s="161" t="n">
        <v>22</v>
      </c>
      <c r="C44" s="162" t="s">
        <v>322</v>
      </c>
      <c r="D44" s="14" t="n">
        <f aca="false">הנחות!$B$42+(הנחות!$B$43-הנחות!$B$42)*0.833333333333333</f>
        <v>0.141666666666667</v>
      </c>
      <c r="E44" s="163" t="n">
        <f aca="false">(הנחות!$B$22/12)*D44/(הנחות!$B$41/(1-הנחות!$B$15)*(1+הנחות!$B$13))</f>
        <v>359719.84172327</v>
      </c>
      <c r="F44" s="11" t="n">
        <f aca="false">E44*הנחות!$B$41</f>
        <v>3201506.5913371</v>
      </c>
      <c r="G44" s="164" t="n">
        <f aca="false">F44*הנחות!$B$16</f>
        <v>576271.186440678</v>
      </c>
      <c r="H44" s="30" t="n">
        <f aca="false">F44-G44</f>
        <v>2625235.40489642</v>
      </c>
      <c r="I44" s="11" t="n">
        <f aca="false">H44-E44*הנחות!$B$7</f>
        <v>537061.723692842</v>
      </c>
      <c r="J44" s="14" t="n">
        <f aca="false">IFERROR(I44/F44,0)</f>
        <v>0.167752808988764</v>
      </c>
    </row>
    <row r="45" customFormat="false" ht="15" hidden="false" customHeight="false" outlineLevel="0" collapsed="false">
      <c r="A45" s="122" t="s">
        <v>326</v>
      </c>
      <c r="B45" s="155" t="n">
        <v>23</v>
      </c>
      <c r="C45" s="156" t="s">
        <v>322</v>
      </c>
      <c r="D45" s="157" t="n">
        <f aca="false">הנחות!$B$42+(הנחות!$B$43-הנחות!$B$42)*0.916666666666667</f>
        <v>0.145833333333333</v>
      </c>
      <c r="E45" s="158" t="n">
        <f aca="false">(הנחות!$B$22/12)*D45/(הנחות!$B$41/(1-הנחות!$B$15)*(1+הנחות!$B$13))</f>
        <v>370299.837068072</v>
      </c>
      <c r="F45" s="159" t="n">
        <f aca="false">E45*הנחות!$B$41</f>
        <v>3295668.54990584</v>
      </c>
      <c r="G45" s="160" t="n">
        <f aca="false">F45*הנחות!$B$16</f>
        <v>593220.338983051</v>
      </c>
      <c r="H45" s="63" t="n">
        <f aca="false">F45-G45</f>
        <v>2702448.21092279</v>
      </c>
      <c r="I45" s="159" t="n">
        <f aca="false">H45-E45*הנחות!$B$7</f>
        <v>552857.656742631</v>
      </c>
      <c r="J45" s="157" t="n">
        <f aca="false">IFERROR(I45/F45,0)</f>
        <v>0.167752808988764</v>
      </c>
    </row>
    <row r="46" customFormat="false" ht="15" hidden="false" customHeight="false" outlineLevel="0" collapsed="false">
      <c r="A46" s="90" t="s">
        <v>327</v>
      </c>
      <c r="B46" s="161" t="n">
        <v>24</v>
      </c>
      <c r="C46" s="162" t="s">
        <v>322</v>
      </c>
      <c r="D46" s="14" t="n">
        <f aca="false">הנחות!$B$42+(הנחות!$B$43-הנחות!$B$42)*1</f>
        <v>0.15</v>
      </c>
      <c r="E46" s="163" t="n">
        <f aca="false">(הנחות!$B$22/12)*D46/(הנחות!$B$41/(1-הנחות!$B$15)*(1+הנחות!$B$13))</f>
        <v>380879.832412874</v>
      </c>
      <c r="F46" s="11" t="n">
        <f aca="false">E46*הנחות!$B$41</f>
        <v>3389830.50847458</v>
      </c>
      <c r="G46" s="164" t="n">
        <f aca="false">F46*הנחות!$B$16</f>
        <v>610169.491525424</v>
      </c>
      <c r="H46" s="30" t="n">
        <f aca="false">F46-G46</f>
        <v>2779661.01694915</v>
      </c>
      <c r="I46" s="11" t="n">
        <f aca="false">H46-E46*הנחות!$B$7</f>
        <v>568653.589792421</v>
      </c>
      <c r="J46" s="14" t="n">
        <f aca="false">IFERROR(I46/F46,0)</f>
        <v>0.167752808988764</v>
      </c>
    </row>
    <row r="48" customFormat="false" ht="24" hidden="false" customHeight="true" outlineLevel="0" collapsed="false">
      <c r="A48" s="165" t="s">
        <v>328</v>
      </c>
      <c r="B48" s="165"/>
      <c r="C48" s="165"/>
      <c r="D48" s="165"/>
      <c r="E48" s="165"/>
      <c r="F48" s="165"/>
      <c r="G48" s="165"/>
      <c r="H48" s="165"/>
      <c r="I48" s="165"/>
      <c r="J48" s="165"/>
    </row>
    <row r="49" customFormat="false" ht="15" hidden="false" customHeight="false" outlineLevel="0" collapsed="false">
      <c r="A49" s="4" t="s">
        <v>303</v>
      </c>
      <c r="B49" s="6" t="s">
        <v>262</v>
      </c>
      <c r="C49" s="6" t="s">
        <v>20</v>
      </c>
      <c r="D49" s="6" t="s">
        <v>284</v>
      </c>
      <c r="E49" s="6" t="s">
        <v>21</v>
      </c>
      <c r="F49" s="6" t="s">
        <v>287</v>
      </c>
      <c r="G49" s="154" t="s">
        <v>304</v>
      </c>
      <c r="H49" s="154"/>
      <c r="I49" s="154"/>
      <c r="J49" s="154"/>
    </row>
    <row r="50" customFormat="false" ht="15" hidden="false" customHeight="false" outlineLevel="0" collapsed="false">
      <c r="A50" s="8" t="s">
        <v>329</v>
      </c>
      <c r="B50" s="93" t="s">
        <v>330</v>
      </c>
      <c r="C50" s="163" t="n">
        <f aca="false">SUM(E35:E37)</f>
        <v>825239.63689456</v>
      </c>
      <c r="D50" s="166" t="n">
        <f aca="false">SUM(F35:F37)</f>
        <v>7344632.76836158</v>
      </c>
      <c r="E50" s="11" t="n">
        <f aca="false">SUM(I35:I37)</f>
        <v>1232082.77788358</v>
      </c>
      <c r="F50" s="14" t="n">
        <f aca="false">IFERROR(E50/D50,0)</f>
        <v>0.167752808988764</v>
      </c>
      <c r="G50" s="127"/>
      <c r="H50" s="127"/>
      <c r="I50" s="127"/>
      <c r="J50" s="127"/>
    </row>
    <row r="51" customFormat="false" ht="15" hidden="false" customHeight="false" outlineLevel="0" collapsed="false">
      <c r="A51" s="8" t="s">
        <v>331</v>
      </c>
      <c r="B51" s="93" t="s">
        <v>332</v>
      </c>
      <c r="C51" s="163" t="n">
        <f aca="false">SUM(E38:E40)</f>
        <v>920459.594997778</v>
      </c>
      <c r="D51" s="166" t="n">
        <f aca="false">SUM(F38:F40)</f>
        <v>8192090.39548023</v>
      </c>
      <c r="E51" s="11" t="n">
        <f aca="false">SUM(I38:I40)</f>
        <v>1374246.17533168</v>
      </c>
      <c r="F51" s="14" t="n">
        <f aca="false">IFERROR(E51/D51,0)</f>
        <v>0.167752808988764</v>
      </c>
      <c r="G51" s="127"/>
      <c r="H51" s="127"/>
      <c r="I51" s="127"/>
      <c r="J51" s="127"/>
    </row>
    <row r="52" customFormat="false" ht="15" hidden="false" customHeight="false" outlineLevel="0" collapsed="false">
      <c r="A52" s="8" t="s">
        <v>333</v>
      </c>
      <c r="B52" s="93" t="s">
        <v>334</v>
      </c>
      <c r="C52" s="163" t="n">
        <f aca="false">SUM(E41:E43)</f>
        <v>1015679.553101</v>
      </c>
      <c r="D52" s="166" t="n">
        <f aca="false">SUM(F41:F43)</f>
        <v>9039548.02259887</v>
      </c>
      <c r="E52" s="11" t="n">
        <f aca="false">SUM(I41:I43)</f>
        <v>1516409.57277979</v>
      </c>
      <c r="F52" s="14" t="n">
        <f aca="false">IFERROR(E52/D52,0)</f>
        <v>0.167752808988764</v>
      </c>
      <c r="G52" s="127"/>
      <c r="H52" s="127"/>
      <c r="I52" s="127"/>
      <c r="J52" s="127"/>
    </row>
    <row r="53" customFormat="false" ht="15" hidden="false" customHeight="false" outlineLevel="0" collapsed="false">
      <c r="A53" s="8" t="s">
        <v>335</v>
      </c>
      <c r="B53" s="93" t="s">
        <v>336</v>
      </c>
      <c r="C53" s="163" t="n">
        <f aca="false">SUM(E44:E46)</f>
        <v>1110899.51120422</v>
      </c>
      <c r="D53" s="166" t="n">
        <f aca="false">SUM(F44:F46)</f>
        <v>9887005.64971751</v>
      </c>
      <c r="E53" s="11" t="n">
        <f aca="false">SUM(I44:I46)</f>
        <v>1658572.97022789</v>
      </c>
      <c r="F53" s="14" t="n">
        <f aca="false">IFERROR(E53/D53,0)</f>
        <v>0.167752808988764</v>
      </c>
      <c r="G53" s="127"/>
      <c r="H53" s="127"/>
      <c r="I53" s="127"/>
      <c r="J53" s="127"/>
    </row>
    <row r="56" customFormat="false" ht="27.75" hidden="false" customHeight="true" outlineLevel="0" collapsed="false">
      <c r="A56" s="167" t="s">
        <v>337</v>
      </c>
      <c r="B56" s="168"/>
      <c r="C56" s="168"/>
      <c r="D56" s="168"/>
      <c r="E56" s="169" t="n">
        <f aca="false">SUM(E35:E46)</f>
        <v>3872278.29619755</v>
      </c>
      <c r="F56" s="170" t="n">
        <f aca="false">SUM(F35:F46)</f>
        <v>34463276.8361582</v>
      </c>
      <c r="G56" s="171" t="n">
        <f aca="false">SUM(G35:G46)</f>
        <v>6203389.83050847</v>
      </c>
      <c r="H56" s="172" t="n">
        <f aca="false">SUM(H35:H46)</f>
        <v>28259887.0056497</v>
      </c>
      <c r="I56" s="170" t="n">
        <f aca="false">SUM(I35:I46)</f>
        <v>5781311.49622295</v>
      </c>
      <c r="J56" s="173" t="n">
        <f aca="false">IFERROR(I56/F56,0)</f>
        <v>0.167752808988764</v>
      </c>
    </row>
  </sheetData>
  <mergeCells count="21">
    <mergeCell ref="A1:J1"/>
    <mergeCell ref="A2:J2"/>
    <mergeCell ref="A4:J4"/>
    <mergeCell ref="E5:J5"/>
    <mergeCell ref="E6:J6"/>
    <mergeCell ref="E7:J7"/>
    <mergeCell ref="E8:J8"/>
    <mergeCell ref="A10:J10"/>
    <mergeCell ref="A24:J24"/>
    <mergeCell ref="G25:J25"/>
    <mergeCell ref="G26:J26"/>
    <mergeCell ref="G27:J27"/>
    <mergeCell ref="G28:J28"/>
    <mergeCell ref="G29:J29"/>
    <mergeCell ref="A33:J33"/>
    <mergeCell ref="A48:J48"/>
    <mergeCell ref="G49:J49"/>
    <mergeCell ref="G50:J50"/>
    <mergeCell ref="G51:J51"/>
    <mergeCell ref="G52:J52"/>
    <mergeCell ref="G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6534"/>
    <pageSetUpPr fitToPage="false"/>
  </sheetPr>
  <dimension ref="A1:J5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174" t="s">
        <v>338</v>
      </c>
      <c r="B1" s="174"/>
      <c r="C1" s="174"/>
      <c r="D1" s="174"/>
      <c r="E1" s="174"/>
      <c r="F1" s="174"/>
      <c r="G1" s="174"/>
      <c r="H1" s="174"/>
      <c r="I1" s="174"/>
      <c r="J1" s="174"/>
    </row>
    <row r="2" customFormat="false" ht="19.5" hidden="false" customHeight="true" outlineLevel="0" collapsed="false">
      <c r="A2" s="2" t="s">
        <v>339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3" t="s">
        <v>260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261</v>
      </c>
      <c r="B5" s="6" t="s">
        <v>262</v>
      </c>
      <c r="C5" s="6" t="s">
        <v>263</v>
      </c>
      <c r="D5" s="7" t="s">
        <v>264</v>
      </c>
      <c r="E5" s="154" t="s">
        <v>46</v>
      </c>
      <c r="F5" s="154"/>
      <c r="G5" s="154"/>
      <c r="H5" s="154"/>
      <c r="I5" s="154"/>
      <c r="J5" s="154"/>
    </row>
    <row r="6" customFormat="false" ht="27.75" hidden="false" customHeight="true" outlineLevel="0" collapsed="false">
      <c r="A6" s="15" t="s">
        <v>265</v>
      </c>
      <c r="B6" s="108" t="s">
        <v>266</v>
      </c>
      <c r="C6" s="108" t="s">
        <v>267</v>
      </c>
      <c r="D6" s="72" t="s">
        <v>268</v>
      </c>
      <c r="E6" s="71" t="s">
        <v>269</v>
      </c>
      <c r="F6" s="71"/>
      <c r="G6" s="71"/>
      <c r="H6" s="71"/>
      <c r="I6" s="71"/>
      <c r="J6" s="71"/>
    </row>
    <row r="7" customFormat="false" ht="27.75" hidden="false" customHeight="true" outlineLevel="0" collapsed="false">
      <c r="A7" s="15" t="s">
        <v>270</v>
      </c>
      <c r="B7" s="108" t="s">
        <v>271</v>
      </c>
      <c r="C7" s="108" t="s">
        <v>272</v>
      </c>
      <c r="D7" s="72" t="s">
        <v>273</v>
      </c>
      <c r="E7" s="71" t="s">
        <v>274</v>
      </c>
      <c r="F7" s="71"/>
      <c r="G7" s="71"/>
      <c r="H7" s="71"/>
      <c r="I7" s="71"/>
      <c r="J7" s="71"/>
    </row>
    <row r="8" customFormat="false" ht="27.75" hidden="false" customHeight="true" outlineLevel="0" collapsed="false">
      <c r="A8" s="15" t="s">
        <v>275</v>
      </c>
      <c r="B8" s="108" t="s">
        <v>276</v>
      </c>
      <c r="C8" s="108" t="s">
        <v>277</v>
      </c>
      <c r="D8" s="72" t="s">
        <v>278</v>
      </c>
      <c r="E8" s="71" t="s">
        <v>279</v>
      </c>
      <c r="F8" s="71"/>
      <c r="G8" s="71"/>
      <c r="H8" s="71"/>
      <c r="I8" s="71"/>
      <c r="J8" s="71"/>
    </row>
    <row r="10" customFormat="false" ht="24" hidden="false" customHeight="true" outlineLevel="0" collapsed="false">
      <c r="A10" s="3" t="s">
        <v>340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30" hidden="false" customHeight="true" outlineLevel="0" collapsed="false">
      <c r="A11" s="4" t="s">
        <v>281</v>
      </c>
      <c r="B11" s="6" t="s">
        <v>282</v>
      </c>
      <c r="C11" s="6" t="s">
        <v>261</v>
      </c>
      <c r="D11" s="6" t="s">
        <v>283</v>
      </c>
      <c r="E11" s="6" t="s">
        <v>20</v>
      </c>
      <c r="F11" s="6" t="s">
        <v>284</v>
      </c>
      <c r="G11" s="6" t="s">
        <v>285</v>
      </c>
      <c r="H11" s="6" t="s">
        <v>286</v>
      </c>
      <c r="I11" s="6" t="s">
        <v>21</v>
      </c>
      <c r="J11" s="6" t="s">
        <v>287</v>
      </c>
    </row>
    <row r="12" customFormat="false" ht="15" hidden="false" customHeight="false" outlineLevel="0" collapsed="false">
      <c r="A12" s="122" t="s">
        <v>288</v>
      </c>
      <c r="B12" s="155" t="n">
        <v>1</v>
      </c>
      <c r="C12" s="175" t="s">
        <v>289</v>
      </c>
      <c r="D12" s="157" t="n">
        <f aca="false">0.08*הנחות!$B$47</f>
        <v>0.0032</v>
      </c>
      <c r="E12" s="158" t="n">
        <f aca="false">(הנחות!$B$22/12)*D12/(הנחות!$B$46/(1-הנחות!$B$15)*(1+הנחות!$B$13))</f>
        <v>3708.53252209184</v>
      </c>
      <c r="F12" s="159" t="n">
        <f aca="false">E12*הנחות!$B$46</f>
        <v>72316.384180791</v>
      </c>
      <c r="G12" s="160" t="n">
        <f aca="false">F12*הנחות!$B$16</f>
        <v>13016.9491525424</v>
      </c>
      <c r="H12" s="63" t="n">
        <f aca="false">F12-G12</f>
        <v>59299.4350282486</v>
      </c>
      <c r="I12" s="159" t="n">
        <f aca="false">H12-E12*הנחות!$B$8</f>
        <v>16243.3724467623</v>
      </c>
      <c r="J12" s="157" t="n">
        <f aca="false">IFERROR(I12/F12,0)</f>
        <v>0.224615384615385</v>
      </c>
    </row>
    <row r="13" customFormat="false" ht="15" hidden="false" customHeight="false" outlineLevel="0" collapsed="false">
      <c r="A13" s="104" t="s">
        <v>290</v>
      </c>
      <c r="B13" s="176" t="n">
        <v>2</v>
      </c>
      <c r="C13" s="177" t="s">
        <v>289</v>
      </c>
      <c r="D13" s="21" t="n">
        <f aca="false">0.18*הנחות!$B$47</f>
        <v>0.0072</v>
      </c>
      <c r="E13" s="178" t="n">
        <f aca="false">(הנחות!$B$22/12)*D13/(הנחות!$B$46/(1-הנחות!$B$15)*(1+הנחות!$B$13))</f>
        <v>8344.19817470665</v>
      </c>
      <c r="F13" s="18" t="n">
        <f aca="false">E13*הנחות!$B$46</f>
        <v>162711.86440678</v>
      </c>
      <c r="G13" s="179" t="n">
        <f aca="false">F13*הנחות!$B$16</f>
        <v>29288.1355932203</v>
      </c>
      <c r="H13" s="32" t="n">
        <f aca="false">F13-G13</f>
        <v>133423.728813559</v>
      </c>
      <c r="I13" s="18" t="n">
        <f aca="false">H13-E13*הנחות!$B$8</f>
        <v>36547.5880052152</v>
      </c>
      <c r="J13" s="21" t="n">
        <f aca="false">IFERROR(I13/F13,0)</f>
        <v>0.224615384615385</v>
      </c>
    </row>
    <row r="14" customFormat="false" ht="15" hidden="false" customHeight="false" outlineLevel="0" collapsed="false">
      <c r="A14" s="122" t="s">
        <v>291</v>
      </c>
      <c r="B14" s="155" t="n">
        <v>3</v>
      </c>
      <c r="C14" s="175" t="s">
        <v>289</v>
      </c>
      <c r="D14" s="157" t="n">
        <f aca="false">0.3*הנחות!$B$47</f>
        <v>0.012</v>
      </c>
      <c r="E14" s="158" t="n">
        <f aca="false">(הנחות!$B$22/12)*D14/(הנחות!$B$46/(1-הנחות!$B$15)*(1+הנחות!$B$13))</f>
        <v>13906.9969578444</v>
      </c>
      <c r="F14" s="159" t="n">
        <f aca="false">E14*הנחות!$B$46</f>
        <v>271186.440677966</v>
      </c>
      <c r="G14" s="160" t="n">
        <f aca="false">F14*הנחות!$B$16</f>
        <v>48813.5593220339</v>
      </c>
      <c r="H14" s="63" t="n">
        <f aca="false">F14-G14</f>
        <v>222372.881355932</v>
      </c>
      <c r="I14" s="159" t="n">
        <f aca="false">H14-E14*הנחות!$B$8</f>
        <v>60912.6466753586</v>
      </c>
      <c r="J14" s="157" t="n">
        <f aca="false">IFERROR(I14/F14,0)</f>
        <v>0.224615384615385</v>
      </c>
    </row>
    <row r="15" customFormat="false" ht="15" hidden="false" customHeight="false" outlineLevel="0" collapsed="false">
      <c r="A15" s="104" t="s">
        <v>292</v>
      </c>
      <c r="B15" s="176" t="n">
        <v>4</v>
      </c>
      <c r="C15" s="177" t="s">
        <v>289</v>
      </c>
      <c r="D15" s="21" t="n">
        <f aca="false">0.45*הנחות!$B$47</f>
        <v>0.018</v>
      </c>
      <c r="E15" s="178" t="n">
        <f aca="false">(הנחות!$B$22/12)*D15/(הנחות!$B$46/(1-הנחות!$B$15)*(1+הנחות!$B$13))</f>
        <v>20860.4954367666</v>
      </c>
      <c r="F15" s="18" t="n">
        <f aca="false">E15*הנחות!$B$46</f>
        <v>406779.661016949</v>
      </c>
      <c r="G15" s="179" t="n">
        <f aca="false">F15*הנחות!$B$16</f>
        <v>73220.3389830509</v>
      </c>
      <c r="H15" s="32" t="n">
        <f aca="false">F15-G15</f>
        <v>333559.322033898</v>
      </c>
      <c r="I15" s="18" t="n">
        <f aca="false">H15-E15*הנחות!$B$8</f>
        <v>91368.9700130378</v>
      </c>
      <c r="J15" s="21" t="n">
        <f aca="false">IFERROR(I15/F15,0)</f>
        <v>0.224615384615385</v>
      </c>
    </row>
    <row r="16" customFormat="false" ht="15" hidden="false" customHeight="false" outlineLevel="0" collapsed="false">
      <c r="A16" s="122" t="s">
        <v>293</v>
      </c>
      <c r="B16" s="155" t="n">
        <v>5</v>
      </c>
      <c r="C16" s="175" t="s">
        <v>289</v>
      </c>
      <c r="D16" s="157" t="n">
        <f aca="false">0.6*הנחות!$B$47</f>
        <v>0.024</v>
      </c>
      <c r="E16" s="158" t="n">
        <f aca="false">(הנחות!$B$22/12)*D16/(הנחות!$B$46/(1-הנחות!$B$15)*(1+הנחות!$B$13))</f>
        <v>27813.9939156888</v>
      </c>
      <c r="F16" s="159" t="n">
        <f aca="false">E16*הנחות!$B$46</f>
        <v>542372.881355932</v>
      </c>
      <c r="G16" s="160" t="n">
        <f aca="false">F16*הנחות!$B$16</f>
        <v>97627.1186440678</v>
      </c>
      <c r="H16" s="63" t="n">
        <f aca="false">F16-G16</f>
        <v>444745.762711864</v>
      </c>
      <c r="I16" s="159" t="n">
        <f aca="false">H16-E16*הנחות!$B$8</f>
        <v>121825.293350717</v>
      </c>
      <c r="J16" s="157" t="n">
        <f aca="false">IFERROR(I16/F16,0)</f>
        <v>0.224615384615385</v>
      </c>
    </row>
    <row r="17" customFormat="false" ht="15" hidden="false" customHeight="false" outlineLevel="0" collapsed="false">
      <c r="A17" s="104" t="s">
        <v>294</v>
      </c>
      <c r="B17" s="176" t="n">
        <v>6</v>
      </c>
      <c r="C17" s="177" t="s">
        <v>289</v>
      </c>
      <c r="D17" s="21" t="n">
        <f aca="false">0.72*הנחות!$B$47</f>
        <v>0.0288</v>
      </c>
      <c r="E17" s="178" t="n">
        <f aca="false">(הנחות!$B$22/12)*D17/(הנחות!$B$46/(1-הנחות!$B$15)*(1+הנחות!$B$13))</f>
        <v>33376.7926988266</v>
      </c>
      <c r="F17" s="18" t="n">
        <f aca="false">E17*הנחות!$B$46</f>
        <v>650847.457627119</v>
      </c>
      <c r="G17" s="179" t="n">
        <f aca="false">F17*הנחות!$B$16</f>
        <v>117152.542372881</v>
      </c>
      <c r="H17" s="32" t="n">
        <f aca="false">F17-G17</f>
        <v>533694.915254237</v>
      </c>
      <c r="I17" s="18" t="n">
        <f aca="false">H17-E17*הנחות!$B$8</f>
        <v>146190.352020861</v>
      </c>
      <c r="J17" s="21" t="n">
        <f aca="false">IFERROR(I17/F17,0)</f>
        <v>0.224615384615385</v>
      </c>
    </row>
    <row r="18" customFormat="false" ht="15" hidden="false" customHeight="false" outlineLevel="0" collapsed="false">
      <c r="A18" s="122" t="s">
        <v>295</v>
      </c>
      <c r="B18" s="155" t="n">
        <v>7</v>
      </c>
      <c r="C18" s="175" t="s">
        <v>296</v>
      </c>
      <c r="D18" s="157" t="n">
        <f aca="false">0.82*הנחות!$B$47</f>
        <v>0.0328</v>
      </c>
      <c r="E18" s="158" t="n">
        <f aca="false">(הנחות!$B$22/12)*D18/(הנחות!$B$46/(1-הנחות!$B$15)*(1+הנחות!$B$13))</f>
        <v>38012.4583514414</v>
      </c>
      <c r="F18" s="159" t="n">
        <f aca="false">E18*הנחות!$B$46</f>
        <v>741242.937853107</v>
      </c>
      <c r="G18" s="160" t="n">
        <f aca="false">F18*הנחות!$B$16</f>
        <v>133423.728813559</v>
      </c>
      <c r="H18" s="63" t="n">
        <f aca="false">F18-G18</f>
        <v>607819.209039548</v>
      </c>
      <c r="I18" s="159" t="n">
        <f aca="false">H18-E18*הנחות!$B$8</f>
        <v>166494.567579313</v>
      </c>
      <c r="J18" s="157" t="n">
        <f aca="false">IFERROR(I18/F18,0)</f>
        <v>0.224615384615385</v>
      </c>
    </row>
    <row r="19" customFormat="false" ht="15" hidden="false" customHeight="false" outlineLevel="0" collapsed="false">
      <c r="A19" s="104" t="s">
        <v>297</v>
      </c>
      <c r="B19" s="176" t="n">
        <v>8</v>
      </c>
      <c r="C19" s="177" t="s">
        <v>296</v>
      </c>
      <c r="D19" s="21" t="n">
        <f aca="false">0.88*הנחות!$B$47</f>
        <v>0.0352</v>
      </c>
      <c r="E19" s="178" t="n">
        <f aca="false">(הנחות!$B$22/12)*D19/(הנחות!$B$46/(1-הנחות!$B$15)*(1+הנחות!$B$13))</f>
        <v>40793.8577430103</v>
      </c>
      <c r="F19" s="18" t="n">
        <f aca="false">E19*הנחות!$B$46</f>
        <v>795480.225988701</v>
      </c>
      <c r="G19" s="179" t="n">
        <f aca="false">F19*הנחות!$B$16</f>
        <v>143186.440677966</v>
      </c>
      <c r="H19" s="32" t="n">
        <f aca="false">F19-G19</f>
        <v>652293.785310734</v>
      </c>
      <c r="I19" s="18" t="n">
        <f aca="false">H19-E19*הנחות!$B$8</f>
        <v>178677.096914385</v>
      </c>
      <c r="J19" s="21" t="n">
        <f aca="false">IFERROR(I19/F19,0)</f>
        <v>0.224615384615385</v>
      </c>
    </row>
    <row r="20" customFormat="false" ht="15" hidden="false" customHeight="false" outlineLevel="0" collapsed="false">
      <c r="A20" s="122" t="s">
        <v>298</v>
      </c>
      <c r="B20" s="155" t="n">
        <v>9</v>
      </c>
      <c r="C20" s="175" t="s">
        <v>296</v>
      </c>
      <c r="D20" s="157" t="n">
        <f aca="false">0.92*הנחות!$B$47</f>
        <v>0.0368</v>
      </c>
      <c r="E20" s="158" t="n">
        <f aca="false">(הנחות!$B$22/12)*D20/(הנחות!$B$46/(1-הנחות!$B$15)*(1+הנחות!$B$13))</f>
        <v>42648.1240040562</v>
      </c>
      <c r="F20" s="159" t="n">
        <f aca="false">E20*הנחות!$B$46</f>
        <v>831638.418079096</v>
      </c>
      <c r="G20" s="160" t="n">
        <f aca="false">F20*הנחות!$B$16</f>
        <v>149694.915254237</v>
      </c>
      <c r="H20" s="63" t="n">
        <f aca="false">F20-G20</f>
        <v>681943.502824859</v>
      </c>
      <c r="I20" s="159" t="n">
        <f aca="false">H20-E20*הנחות!$B$8</f>
        <v>186798.783137766</v>
      </c>
      <c r="J20" s="157" t="n">
        <f aca="false">IFERROR(I20/F20,0)</f>
        <v>0.224615384615385</v>
      </c>
    </row>
    <row r="21" customFormat="false" ht="15" hidden="false" customHeight="false" outlineLevel="0" collapsed="false">
      <c r="A21" s="104" t="s">
        <v>299</v>
      </c>
      <c r="B21" s="176" t="n">
        <v>10</v>
      </c>
      <c r="C21" s="177" t="s">
        <v>296</v>
      </c>
      <c r="D21" s="21" t="n">
        <f aca="false">0.95*הנחות!$B$47</f>
        <v>0.038</v>
      </c>
      <c r="E21" s="178" t="n">
        <f aca="false">(הנחות!$B$22/12)*D21/(הנחות!$B$46/(1-הנחות!$B$15)*(1+הנחות!$B$13))</f>
        <v>44038.8236998406</v>
      </c>
      <c r="F21" s="18" t="n">
        <f aca="false">E21*הנחות!$B$46</f>
        <v>858757.062146893</v>
      </c>
      <c r="G21" s="179" t="n">
        <f aca="false">F21*הנחות!$B$16</f>
        <v>154576.271186441</v>
      </c>
      <c r="H21" s="32" t="n">
        <f aca="false">F21-G21</f>
        <v>704180.790960452</v>
      </c>
      <c r="I21" s="18" t="n">
        <f aca="false">H21-E21*הנחות!$B$8</f>
        <v>192890.047805302</v>
      </c>
      <c r="J21" s="21" t="n">
        <f aca="false">IFERROR(I21/F21,0)</f>
        <v>0.224615384615385</v>
      </c>
    </row>
    <row r="22" customFormat="false" ht="15" hidden="false" customHeight="false" outlineLevel="0" collapsed="false">
      <c r="A22" s="122" t="s">
        <v>300</v>
      </c>
      <c r="B22" s="155" t="n">
        <v>11</v>
      </c>
      <c r="C22" s="175" t="s">
        <v>296</v>
      </c>
      <c r="D22" s="157" t="n">
        <f aca="false">0.98*הנחות!$B$47</f>
        <v>0.0392</v>
      </c>
      <c r="E22" s="158" t="n">
        <f aca="false">(הנחות!$B$22/12)*D22/(הנחות!$B$46/(1-הנחות!$B$15)*(1+הנחות!$B$13))</f>
        <v>45429.5233956251</v>
      </c>
      <c r="F22" s="159" t="n">
        <f aca="false">E22*הנחות!$B$46</f>
        <v>885875.706214689</v>
      </c>
      <c r="G22" s="160" t="n">
        <f aca="false">F22*הנחות!$B$16</f>
        <v>159457.627118644</v>
      </c>
      <c r="H22" s="63" t="n">
        <f aca="false">F22-G22</f>
        <v>726418.079096045</v>
      </c>
      <c r="I22" s="159" t="n">
        <f aca="false">H22-E22*הנחות!$B$8</f>
        <v>198981.312472838</v>
      </c>
      <c r="J22" s="157" t="n">
        <f aca="false">IFERROR(I22/F22,0)</f>
        <v>0.224615384615385</v>
      </c>
    </row>
    <row r="23" customFormat="false" ht="15" hidden="false" customHeight="false" outlineLevel="0" collapsed="false">
      <c r="A23" s="104" t="s">
        <v>301</v>
      </c>
      <c r="B23" s="176" t="n">
        <v>12</v>
      </c>
      <c r="C23" s="177" t="s">
        <v>296</v>
      </c>
      <c r="D23" s="21" t="n">
        <f aca="false">1*הנחות!$B$47</f>
        <v>0.04</v>
      </c>
      <c r="E23" s="178" t="n">
        <f aca="false">(הנחות!$B$22/12)*D23/(הנחות!$B$46/(1-הנחות!$B$15)*(1+הנחות!$B$13))</f>
        <v>46356.6565261481</v>
      </c>
      <c r="F23" s="18" t="n">
        <f aca="false">E23*הנחות!$B$46</f>
        <v>903954.802259887</v>
      </c>
      <c r="G23" s="179" t="n">
        <f aca="false">F23*הנחות!$B$16</f>
        <v>162711.86440678</v>
      </c>
      <c r="H23" s="32" t="n">
        <f aca="false">F23-G23</f>
        <v>741242.937853107</v>
      </c>
      <c r="I23" s="18" t="n">
        <f aca="false">H23-E23*הנחות!$B$8</f>
        <v>203042.155584528</v>
      </c>
      <c r="J23" s="21" t="n">
        <f aca="false">IFERROR(I23/F23,0)</f>
        <v>0.224615384615385</v>
      </c>
    </row>
    <row r="24" customFormat="false" ht="24" hidden="false" customHeight="true" outlineLevel="0" collapsed="false">
      <c r="A24" s="165" t="s">
        <v>302</v>
      </c>
      <c r="B24" s="165"/>
      <c r="C24" s="165"/>
      <c r="D24" s="165"/>
      <c r="E24" s="165"/>
      <c r="F24" s="165"/>
      <c r="G24" s="165"/>
      <c r="H24" s="165"/>
      <c r="I24" s="165"/>
      <c r="J24" s="165"/>
    </row>
    <row r="25" customFormat="false" ht="15" hidden="false" customHeight="false" outlineLevel="0" collapsed="false">
      <c r="A25" s="4" t="s">
        <v>303</v>
      </c>
      <c r="B25" s="6" t="s">
        <v>262</v>
      </c>
      <c r="C25" s="6" t="s">
        <v>20</v>
      </c>
      <c r="D25" s="6" t="s">
        <v>284</v>
      </c>
      <c r="E25" s="6" t="s">
        <v>21</v>
      </c>
      <c r="F25" s="6" t="s">
        <v>287</v>
      </c>
      <c r="G25" s="154" t="s">
        <v>304</v>
      </c>
      <c r="H25" s="154"/>
      <c r="I25" s="154"/>
      <c r="J25" s="154"/>
    </row>
    <row r="26" customFormat="false" ht="15" hidden="false" customHeight="false" outlineLevel="0" collapsed="false">
      <c r="A26" s="15" t="s">
        <v>305</v>
      </c>
      <c r="B26" s="107" t="s">
        <v>306</v>
      </c>
      <c r="C26" s="178" t="n">
        <f aca="false">SUM(E12:E14)</f>
        <v>25959.7276546429</v>
      </c>
      <c r="D26" s="180" t="n">
        <f aca="false">SUM(F12:F14)</f>
        <v>506214.689265537</v>
      </c>
      <c r="E26" s="18" t="n">
        <f aca="false">SUM(I12:I14)</f>
        <v>113703.607127336</v>
      </c>
      <c r="F26" s="21" t="n">
        <f aca="false">IFERROR(E26/D26,0)</f>
        <v>0.224615384615385</v>
      </c>
      <c r="G26" s="128"/>
      <c r="H26" s="128"/>
      <c r="I26" s="128"/>
      <c r="J26" s="128"/>
    </row>
    <row r="27" customFormat="false" ht="15" hidden="false" customHeight="false" outlineLevel="0" collapsed="false">
      <c r="A27" s="15" t="s">
        <v>307</v>
      </c>
      <c r="B27" s="107" t="s">
        <v>308</v>
      </c>
      <c r="C27" s="178" t="n">
        <f aca="false">SUM(E15:E17)</f>
        <v>82051.2820512821</v>
      </c>
      <c r="D27" s="180" t="n">
        <f aca="false">SUM(F15:F17)</f>
        <v>1600000</v>
      </c>
      <c r="E27" s="18" t="n">
        <f aca="false">SUM(I15:I17)</f>
        <v>359384.615384616</v>
      </c>
      <c r="F27" s="21" t="n">
        <f aca="false">IFERROR(E27/D27,0)</f>
        <v>0.224615384615385</v>
      </c>
      <c r="G27" s="128"/>
      <c r="H27" s="128"/>
      <c r="I27" s="128"/>
      <c r="J27" s="128"/>
    </row>
    <row r="28" customFormat="false" ht="15" hidden="false" customHeight="false" outlineLevel="0" collapsed="false">
      <c r="A28" s="15" t="s">
        <v>309</v>
      </c>
      <c r="B28" s="107" t="s">
        <v>310</v>
      </c>
      <c r="C28" s="178" t="n">
        <f aca="false">SUM(E18:E20)</f>
        <v>121454.440098508</v>
      </c>
      <c r="D28" s="180" t="n">
        <f aca="false">SUM(F18:F20)</f>
        <v>2368361.5819209</v>
      </c>
      <c r="E28" s="18" t="n">
        <f aca="false">SUM(I18:I20)</f>
        <v>531970.447631465</v>
      </c>
      <c r="F28" s="21" t="n">
        <f aca="false">IFERROR(E28/D28,0)</f>
        <v>0.224615384615385</v>
      </c>
      <c r="G28" s="128"/>
      <c r="H28" s="128"/>
      <c r="I28" s="128"/>
      <c r="J28" s="128"/>
    </row>
    <row r="29" customFormat="false" ht="15" hidden="false" customHeight="false" outlineLevel="0" collapsed="false">
      <c r="A29" s="15" t="s">
        <v>311</v>
      </c>
      <c r="B29" s="107" t="s">
        <v>312</v>
      </c>
      <c r="C29" s="178" t="n">
        <f aca="false">SUM(E21:E23)</f>
        <v>135825.003621614</v>
      </c>
      <c r="D29" s="180" t="n">
        <f aca="false">SUM(F21:F23)</f>
        <v>2648587.57062147</v>
      </c>
      <c r="E29" s="18" t="n">
        <f aca="false">SUM(I21:I23)</f>
        <v>594913.515862668</v>
      </c>
      <c r="F29" s="21" t="n">
        <f aca="false">IFERROR(E29/D29,0)</f>
        <v>0.224615384615385</v>
      </c>
      <c r="G29" s="128"/>
      <c r="H29" s="128"/>
      <c r="I29" s="128"/>
      <c r="J29" s="128"/>
    </row>
    <row r="31" customFormat="false" ht="27.75" hidden="false" customHeight="true" outlineLevel="0" collapsed="false">
      <c r="A31" s="167" t="s">
        <v>313</v>
      </c>
      <c r="B31" s="168"/>
      <c r="C31" s="168"/>
      <c r="D31" s="168"/>
      <c r="E31" s="169" t="n">
        <f aca="false">SUM(E12:E23)</f>
        <v>365290.453426047</v>
      </c>
      <c r="F31" s="170" t="n">
        <f aca="false">SUM(F12:F23)</f>
        <v>7123163.84180791</v>
      </c>
      <c r="G31" s="171" t="n">
        <f aca="false">SUM(G12:G23)</f>
        <v>1282169.49152542</v>
      </c>
      <c r="H31" s="172" t="n">
        <f aca="false">SUM(H12:H23)</f>
        <v>5840994.35028249</v>
      </c>
      <c r="I31" s="170" t="n">
        <f aca="false">SUM(I12:I23)</f>
        <v>1599972.18600608</v>
      </c>
      <c r="J31" s="173" t="n">
        <f aca="false">IFERROR(I31/F31,0)</f>
        <v>0.224615384615385</v>
      </c>
    </row>
    <row r="33" customFormat="false" ht="24" hidden="false" customHeight="true" outlineLevel="0" collapsed="false">
      <c r="A33" s="3" t="s">
        <v>341</v>
      </c>
      <c r="B33" s="3"/>
      <c r="C33" s="3"/>
      <c r="D33" s="3"/>
      <c r="E33" s="3"/>
      <c r="F33" s="3"/>
      <c r="G33" s="3"/>
      <c r="H33" s="3"/>
      <c r="I33" s="3"/>
      <c r="J33" s="3"/>
    </row>
    <row r="34" customFormat="false" ht="30" hidden="false" customHeight="true" outlineLevel="0" collapsed="false">
      <c r="A34" s="4" t="s">
        <v>281</v>
      </c>
      <c r="B34" s="6" t="s">
        <v>282</v>
      </c>
      <c r="C34" s="6" t="s">
        <v>261</v>
      </c>
      <c r="D34" s="6" t="s">
        <v>283</v>
      </c>
      <c r="E34" s="6" t="s">
        <v>20</v>
      </c>
      <c r="F34" s="6" t="s">
        <v>284</v>
      </c>
      <c r="G34" s="6" t="s">
        <v>285</v>
      </c>
      <c r="H34" s="6" t="s">
        <v>286</v>
      </c>
      <c r="I34" s="6" t="s">
        <v>21</v>
      </c>
      <c r="J34" s="6" t="s">
        <v>287</v>
      </c>
    </row>
    <row r="35" customFormat="false" ht="15" hidden="false" customHeight="false" outlineLevel="0" collapsed="false">
      <c r="A35" s="122" t="s">
        <v>315</v>
      </c>
      <c r="B35" s="155" t="n">
        <v>13</v>
      </c>
      <c r="C35" s="175" t="s">
        <v>296</v>
      </c>
      <c r="D35" s="157" t="n">
        <f aca="false">הנחות!$B$47+(הנחות!$B$48-הנחות!$B$47)*0.0833333333333333</f>
        <v>0.0425</v>
      </c>
      <c r="E35" s="158" t="n">
        <f aca="false">(הנחות!$B$22/12)*D35/(הנחות!$B$46/(1-הנחות!$B$15)*(1+הנחות!$B$13))</f>
        <v>49253.9475590323</v>
      </c>
      <c r="F35" s="159" t="n">
        <f aca="false">E35*הנחות!$B$46</f>
        <v>960451.97740113</v>
      </c>
      <c r="G35" s="160" t="n">
        <f aca="false">F35*הנחות!$B$16</f>
        <v>172881.355932203</v>
      </c>
      <c r="H35" s="63" t="n">
        <f aca="false">F35-G35</f>
        <v>787570.621468927</v>
      </c>
      <c r="I35" s="159" t="n">
        <f aca="false">H35-E35*הנחות!$B$8</f>
        <v>215732.290308562</v>
      </c>
      <c r="J35" s="157" t="n">
        <f aca="false">IFERROR(I35/F35,0)</f>
        <v>0.224615384615385</v>
      </c>
    </row>
    <row r="36" customFormat="false" ht="15" hidden="false" customHeight="false" outlineLevel="0" collapsed="false">
      <c r="A36" s="104" t="s">
        <v>316</v>
      </c>
      <c r="B36" s="176" t="n">
        <v>14</v>
      </c>
      <c r="C36" s="177" t="s">
        <v>296</v>
      </c>
      <c r="D36" s="21" t="n">
        <f aca="false">הנחות!$B$47+(הנחות!$B$48-הנחות!$B$47)*0.166666666666667</f>
        <v>0.045</v>
      </c>
      <c r="E36" s="178" t="n">
        <f aca="false">(הנחות!$B$22/12)*D36/(הנחות!$B$46/(1-הנחות!$B$15)*(1+הנחות!$B$13))</f>
        <v>52151.2385919166</v>
      </c>
      <c r="F36" s="18" t="n">
        <f aca="false">E36*הנחות!$B$46</f>
        <v>1016949.15254237</v>
      </c>
      <c r="G36" s="179" t="n">
        <f aca="false">F36*הנחות!$B$16</f>
        <v>183050.847457627</v>
      </c>
      <c r="H36" s="32" t="n">
        <f aca="false">F36-G36</f>
        <v>833898.305084746</v>
      </c>
      <c r="I36" s="18" t="n">
        <f aca="false">H36-E36*הנחות!$B$8</f>
        <v>228422.425032595</v>
      </c>
      <c r="J36" s="21" t="n">
        <f aca="false">IFERROR(I36/F36,0)</f>
        <v>0.224615384615385</v>
      </c>
    </row>
    <row r="37" customFormat="false" ht="15" hidden="false" customHeight="false" outlineLevel="0" collapsed="false">
      <c r="A37" s="122" t="s">
        <v>317</v>
      </c>
      <c r="B37" s="155" t="n">
        <v>15</v>
      </c>
      <c r="C37" s="175" t="s">
        <v>296</v>
      </c>
      <c r="D37" s="157" t="n">
        <f aca="false">הנחות!$B$47+(הנחות!$B$48-הנחות!$B$47)*0.25</f>
        <v>0.0475</v>
      </c>
      <c r="E37" s="158" t="n">
        <f aca="false">(הנחות!$B$22/12)*D37/(הנחות!$B$46/(1-הנחות!$B$15)*(1+הנחות!$B$13))</f>
        <v>55048.5296248008</v>
      </c>
      <c r="F37" s="159" t="n">
        <f aca="false">E37*הנחות!$B$46</f>
        <v>1073446.32768362</v>
      </c>
      <c r="G37" s="160" t="n">
        <f aca="false">F37*הנחות!$B$16</f>
        <v>193220.338983051</v>
      </c>
      <c r="H37" s="63" t="n">
        <f aca="false">F37-G37</f>
        <v>880225.988700565</v>
      </c>
      <c r="I37" s="159" t="n">
        <f aca="false">H37-E37*הנחות!$B$8</f>
        <v>241112.559756628</v>
      </c>
      <c r="J37" s="157" t="n">
        <f aca="false">IFERROR(I37/F37,0)</f>
        <v>0.224615384615385</v>
      </c>
    </row>
    <row r="38" customFormat="false" ht="15" hidden="false" customHeight="false" outlineLevel="0" collapsed="false">
      <c r="A38" s="104" t="s">
        <v>318</v>
      </c>
      <c r="B38" s="176" t="n">
        <v>16</v>
      </c>
      <c r="C38" s="177" t="s">
        <v>296</v>
      </c>
      <c r="D38" s="21" t="n">
        <f aca="false">הנחות!$B$47+(הנחות!$B$48-הנחות!$B$47)*0.333333333333333</f>
        <v>0.05</v>
      </c>
      <c r="E38" s="178" t="n">
        <f aca="false">(הנחות!$B$22/12)*D38/(הנחות!$B$46/(1-הנחות!$B$15)*(1+הנחות!$B$13))</f>
        <v>57945.8206576851</v>
      </c>
      <c r="F38" s="18" t="n">
        <f aca="false">E38*הנחות!$B$46</f>
        <v>1129943.50282486</v>
      </c>
      <c r="G38" s="179" t="n">
        <f aca="false">F38*הנחות!$B$16</f>
        <v>203389.830508475</v>
      </c>
      <c r="H38" s="32" t="n">
        <f aca="false">F38-G38</f>
        <v>926553.672316384</v>
      </c>
      <c r="I38" s="18" t="n">
        <f aca="false">H38-E38*הנחות!$B$8</f>
        <v>253802.694480661</v>
      </c>
      <c r="J38" s="21" t="n">
        <f aca="false">IFERROR(I38/F38,0)</f>
        <v>0.224615384615385</v>
      </c>
    </row>
    <row r="39" customFormat="false" ht="15" hidden="false" customHeight="false" outlineLevel="0" collapsed="false">
      <c r="A39" s="122" t="s">
        <v>319</v>
      </c>
      <c r="B39" s="155" t="n">
        <v>17</v>
      </c>
      <c r="C39" s="175" t="s">
        <v>296</v>
      </c>
      <c r="D39" s="157" t="n">
        <f aca="false">הנחות!$B$47+(הנחות!$B$48-הנחות!$B$47)*0.416666666666667</f>
        <v>0.0525</v>
      </c>
      <c r="E39" s="158" t="n">
        <f aca="false">(הנחות!$B$22/12)*D39/(הנחות!$B$46/(1-הנחות!$B$15)*(1+הנחות!$B$13))</f>
        <v>60843.1116905693</v>
      </c>
      <c r="F39" s="159" t="n">
        <f aca="false">E39*הנחות!$B$46</f>
        <v>1186440.6779661</v>
      </c>
      <c r="G39" s="160" t="n">
        <f aca="false">F39*הנחות!$B$16</f>
        <v>213559.322033898</v>
      </c>
      <c r="H39" s="63" t="n">
        <f aca="false">F39-G39</f>
        <v>972881.355932204</v>
      </c>
      <c r="I39" s="159" t="n">
        <f aca="false">H39-E39*הנחות!$B$8</f>
        <v>266492.829204694</v>
      </c>
      <c r="J39" s="157" t="n">
        <f aca="false">IFERROR(I39/F39,0)</f>
        <v>0.224615384615385</v>
      </c>
    </row>
    <row r="40" customFormat="false" ht="15" hidden="false" customHeight="false" outlineLevel="0" collapsed="false">
      <c r="A40" s="104" t="s">
        <v>320</v>
      </c>
      <c r="B40" s="176" t="n">
        <v>18</v>
      </c>
      <c r="C40" s="177" t="s">
        <v>296</v>
      </c>
      <c r="D40" s="21" t="n">
        <f aca="false">הנחות!$B$47+(הנחות!$B$48-הנחות!$B$47)*0.5</f>
        <v>0.055</v>
      </c>
      <c r="E40" s="178" t="n">
        <f aca="false">(הנחות!$B$22/12)*D40/(הנחות!$B$46/(1-הנחות!$B$15)*(1+הנחות!$B$13))</f>
        <v>63740.4027234536</v>
      </c>
      <c r="F40" s="18" t="n">
        <f aca="false">E40*הנחות!$B$46</f>
        <v>1242937.85310734</v>
      </c>
      <c r="G40" s="179" t="n">
        <f aca="false">F40*הנחות!$B$16</f>
        <v>223728.813559322</v>
      </c>
      <c r="H40" s="32" t="n">
        <f aca="false">F40-G40</f>
        <v>1019209.03954802</v>
      </c>
      <c r="I40" s="18" t="n">
        <f aca="false">H40-E40*הנחות!$B$8</f>
        <v>279182.963928727</v>
      </c>
      <c r="J40" s="21" t="n">
        <f aca="false">IFERROR(I40/F40,0)</f>
        <v>0.224615384615385</v>
      </c>
    </row>
    <row r="41" customFormat="false" ht="15" hidden="false" customHeight="false" outlineLevel="0" collapsed="false">
      <c r="A41" s="122" t="s">
        <v>321</v>
      </c>
      <c r="B41" s="155" t="n">
        <v>19</v>
      </c>
      <c r="C41" s="175" t="s">
        <v>322</v>
      </c>
      <c r="D41" s="157" t="n">
        <f aca="false">הנחות!$B$47+(הנחות!$B$48-הנחות!$B$47)*0.583333333333333</f>
        <v>0.0575</v>
      </c>
      <c r="E41" s="158" t="n">
        <f aca="false">(הנחות!$B$22/12)*D41/(הנחות!$B$46/(1-הנחות!$B$15)*(1+הנחות!$B$13))</f>
        <v>66637.6937563378</v>
      </c>
      <c r="F41" s="159" t="n">
        <f aca="false">E41*הנחות!$B$46</f>
        <v>1299435.02824859</v>
      </c>
      <c r="G41" s="160" t="n">
        <f aca="false">F41*הנחות!$B$16</f>
        <v>233898.305084746</v>
      </c>
      <c r="H41" s="63" t="n">
        <f aca="false">F41-G41</f>
        <v>1065536.72316384</v>
      </c>
      <c r="I41" s="159" t="n">
        <f aca="false">H41-E41*הנחות!$B$8</f>
        <v>291873.09865276</v>
      </c>
      <c r="J41" s="157" t="n">
        <f aca="false">IFERROR(I41/F41,0)</f>
        <v>0.224615384615385</v>
      </c>
    </row>
    <row r="42" customFormat="false" ht="15" hidden="false" customHeight="false" outlineLevel="0" collapsed="false">
      <c r="A42" s="104" t="s">
        <v>323</v>
      </c>
      <c r="B42" s="176" t="n">
        <v>20</v>
      </c>
      <c r="C42" s="177" t="s">
        <v>322</v>
      </c>
      <c r="D42" s="21" t="n">
        <f aca="false">הנחות!$B$47+(הנחות!$B$48-הנחות!$B$47)*0.666666666666667</f>
        <v>0.06</v>
      </c>
      <c r="E42" s="178" t="n">
        <f aca="false">(הנחות!$B$22/12)*D42/(הנחות!$B$46/(1-הנחות!$B$15)*(1+הנחות!$B$13))</f>
        <v>69534.9847892221</v>
      </c>
      <c r="F42" s="18" t="n">
        <f aca="false">E42*הנחות!$B$46</f>
        <v>1355932.20338983</v>
      </c>
      <c r="G42" s="179" t="n">
        <f aca="false">F42*הנחות!$B$16</f>
        <v>244067.79661017</v>
      </c>
      <c r="H42" s="32" t="n">
        <f aca="false">F42-G42</f>
        <v>1111864.40677966</v>
      </c>
      <c r="I42" s="18" t="n">
        <f aca="false">H42-E42*הנחות!$B$8</f>
        <v>304563.233376793</v>
      </c>
      <c r="J42" s="21" t="n">
        <f aca="false">IFERROR(I42/F42,0)</f>
        <v>0.224615384615385</v>
      </c>
    </row>
    <row r="43" customFormat="false" ht="15" hidden="false" customHeight="false" outlineLevel="0" collapsed="false">
      <c r="A43" s="122" t="s">
        <v>324</v>
      </c>
      <c r="B43" s="155" t="n">
        <v>21</v>
      </c>
      <c r="C43" s="175" t="s">
        <v>322</v>
      </c>
      <c r="D43" s="157" t="n">
        <f aca="false">הנחות!$B$47+(הנחות!$B$48-הנחות!$B$47)*0.75</f>
        <v>0.0625</v>
      </c>
      <c r="E43" s="158" t="n">
        <f aca="false">(הנחות!$B$22/12)*D43/(הנחות!$B$46/(1-הנחות!$B$15)*(1+הנחות!$B$13))</f>
        <v>72432.2758221063</v>
      </c>
      <c r="F43" s="159" t="n">
        <f aca="false">E43*הנחות!$B$46</f>
        <v>1412429.37853107</v>
      </c>
      <c r="G43" s="160" t="n">
        <f aca="false">F43*הנחות!$B$16</f>
        <v>254237.288135593</v>
      </c>
      <c r="H43" s="63" t="n">
        <f aca="false">F43-G43</f>
        <v>1158192.09039548</v>
      </c>
      <c r="I43" s="159" t="n">
        <f aca="false">H43-E43*הנחות!$B$8</f>
        <v>317253.368100826</v>
      </c>
      <c r="J43" s="157" t="n">
        <f aca="false">IFERROR(I43/F43,0)</f>
        <v>0.224615384615385</v>
      </c>
    </row>
    <row r="44" customFormat="false" ht="15" hidden="false" customHeight="false" outlineLevel="0" collapsed="false">
      <c r="A44" s="104" t="s">
        <v>325</v>
      </c>
      <c r="B44" s="176" t="n">
        <v>22</v>
      </c>
      <c r="C44" s="177" t="s">
        <v>322</v>
      </c>
      <c r="D44" s="21" t="n">
        <f aca="false">הנחות!$B$47+(הנחות!$B$48-הנחות!$B$47)*0.833333333333333</f>
        <v>0.065</v>
      </c>
      <c r="E44" s="178" t="n">
        <f aca="false">(הנחות!$B$22/12)*D44/(הנחות!$B$46/(1-הנחות!$B$15)*(1+הנחות!$B$13))</f>
        <v>75329.5668549906</v>
      </c>
      <c r="F44" s="18" t="n">
        <f aca="false">E44*הנחות!$B$46</f>
        <v>1468926.55367232</v>
      </c>
      <c r="G44" s="179" t="n">
        <f aca="false">F44*הנחות!$B$16</f>
        <v>264406.779661017</v>
      </c>
      <c r="H44" s="32" t="n">
        <f aca="false">F44-G44</f>
        <v>1204519.7740113</v>
      </c>
      <c r="I44" s="18" t="n">
        <f aca="false">H44-E44*הנחות!$B$8</f>
        <v>329943.502824859</v>
      </c>
      <c r="J44" s="21" t="n">
        <f aca="false">IFERROR(I44/F44,0)</f>
        <v>0.224615384615385</v>
      </c>
    </row>
    <row r="45" customFormat="false" ht="15" hidden="false" customHeight="false" outlineLevel="0" collapsed="false">
      <c r="A45" s="122" t="s">
        <v>326</v>
      </c>
      <c r="B45" s="155" t="n">
        <v>23</v>
      </c>
      <c r="C45" s="175" t="s">
        <v>322</v>
      </c>
      <c r="D45" s="157" t="n">
        <f aca="false">הנחות!$B$47+(הנחות!$B$48-הנחות!$B$47)*0.916666666666667</f>
        <v>0.0675</v>
      </c>
      <c r="E45" s="158" t="n">
        <f aca="false">(הנחות!$B$22/12)*D45/(הנחות!$B$46/(1-הנחות!$B$15)*(1+הנחות!$B$13))</f>
        <v>78226.8578878748</v>
      </c>
      <c r="F45" s="159" t="n">
        <f aca="false">E45*הנחות!$B$46</f>
        <v>1525423.72881356</v>
      </c>
      <c r="G45" s="160" t="n">
        <f aca="false">F45*הנחות!$B$16</f>
        <v>274576.271186441</v>
      </c>
      <c r="H45" s="63" t="n">
        <f aca="false">F45-G45</f>
        <v>1250847.45762712</v>
      </c>
      <c r="I45" s="159" t="n">
        <f aca="false">H45-E45*הנחות!$B$8</f>
        <v>342633.637548892</v>
      </c>
      <c r="J45" s="157" t="n">
        <f aca="false">IFERROR(I45/F45,0)</f>
        <v>0.224615384615385</v>
      </c>
    </row>
    <row r="46" customFormat="false" ht="15" hidden="false" customHeight="false" outlineLevel="0" collapsed="false">
      <c r="A46" s="104" t="s">
        <v>327</v>
      </c>
      <c r="B46" s="176" t="n">
        <v>24</v>
      </c>
      <c r="C46" s="177" t="s">
        <v>322</v>
      </c>
      <c r="D46" s="21" t="n">
        <f aca="false">הנחות!$B$47+(הנחות!$B$48-הנחות!$B$47)*1</f>
        <v>0.07</v>
      </c>
      <c r="E46" s="178" t="n">
        <f aca="false">(הנחות!$B$22/12)*D46/(הנחות!$B$46/(1-הנחות!$B$15)*(1+הנחות!$B$13))</f>
        <v>81124.1489207591</v>
      </c>
      <c r="F46" s="18" t="n">
        <f aca="false">E46*הנחות!$B$46</f>
        <v>1581920.9039548</v>
      </c>
      <c r="G46" s="179" t="n">
        <f aca="false">F46*הנחות!$B$16</f>
        <v>284745.762711864</v>
      </c>
      <c r="H46" s="32" t="n">
        <f aca="false">F46-G46</f>
        <v>1297175.14124294</v>
      </c>
      <c r="I46" s="18" t="n">
        <f aca="false">H46-E46*הנחות!$B$8</f>
        <v>355323.772272925</v>
      </c>
      <c r="J46" s="21" t="n">
        <f aca="false">IFERROR(I46/F46,0)</f>
        <v>0.224615384615385</v>
      </c>
    </row>
    <row r="48" customFormat="false" ht="24" hidden="false" customHeight="true" outlineLevel="0" collapsed="false">
      <c r="A48" s="165" t="s">
        <v>328</v>
      </c>
      <c r="B48" s="165"/>
      <c r="C48" s="165"/>
      <c r="D48" s="165"/>
      <c r="E48" s="165"/>
      <c r="F48" s="165"/>
      <c r="G48" s="165"/>
      <c r="H48" s="165"/>
      <c r="I48" s="165"/>
      <c r="J48" s="165"/>
    </row>
    <row r="49" customFormat="false" ht="15" hidden="false" customHeight="false" outlineLevel="0" collapsed="false">
      <c r="A49" s="4" t="s">
        <v>303</v>
      </c>
      <c r="B49" s="6" t="s">
        <v>262</v>
      </c>
      <c r="C49" s="6" t="s">
        <v>20</v>
      </c>
      <c r="D49" s="6" t="s">
        <v>284</v>
      </c>
      <c r="E49" s="6" t="s">
        <v>21</v>
      </c>
      <c r="F49" s="6" t="s">
        <v>287</v>
      </c>
      <c r="G49" s="154" t="s">
        <v>304</v>
      </c>
      <c r="H49" s="154"/>
      <c r="I49" s="154"/>
      <c r="J49" s="154"/>
    </row>
    <row r="50" customFormat="false" ht="15" hidden="false" customHeight="false" outlineLevel="0" collapsed="false">
      <c r="A50" s="15" t="s">
        <v>329</v>
      </c>
      <c r="B50" s="107" t="s">
        <v>330</v>
      </c>
      <c r="C50" s="178" t="n">
        <f aca="false">SUM(E35:E37)</f>
        <v>156453.71577575</v>
      </c>
      <c r="D50" s="180" t="n">
        <f aca="false">SUM(F35:F37)</f>
        <v>3050847.45762712</v>
      </c>
      <c r="E50" s="18" t="n">
        <f aca="false">SUM(I35:I37)</f>
        <v>685267.275097784</v>
      </c>
      <c r="F50" s="21" t="n">
        <f aca="false">IFERROR(E50/D50,0)</f>
        <v>0.224615384615385</v>
      </c>
      <c r="G50" s="128"/>
      <c r="H50" s="128"/>
      <c r="I50" s="128"/>
      <c r="J50" s="128"/>
    </row>
    <row r="51" customFormat="false" ht="15" hidden="false" customHeight="false" outlineLevel="0" collapsed="false">
      <c r="A51" s="15" t="s">
        <v>331</v>
      </c>
      <c r="B51" s="107" t="s">
        <v>332</v>
      </c>
      <c r="C51" s="178" t="n">
        <f aca="false">SUM(E38:E40)</f>
        <v>182529.335071708</v>
      </c>
      <c r="D51" s="180" t="n">
        <f aca="false">SUM(F38:F40)</f>
        <v>3559322.03389831</v>
      </c>
      <c r="E51" s="18" t="n">
        <f aca="false">SUM(I38:I40)</f>
        <v>799478.487614081</v>
      </c>
      <c r="F51" s="21" t="n">
        <f aca="false">IFERROR(E51/D51,0)</f>
        <v>0.224615384615385</v>
      </c>
      <c r="G51" s="128"/>
      <c r="H51" s="128"/>
      <c r="I51" s="128"/>
      <c r="J51" s="128"/>
    </row>
    <row r="52" customFormat="false" ht="15" hidden="false" customHeight="false" outlineLevel="0" collapsed="false">
      <c r="A52" s="15" t="s">
        <v>333</v>
      </c>
      <c r="B52" s="107" t="s">
        <v>334</v>
      </c>
      <c r="C52" s="178" t="n">
        <f aca="false">SUM(E41:E43)</f>
        <v>208604.954367666</v>
      </c>
      <c r="D52" s="180" t="n">
        <f aca="false">SUM(F41:F43)</f>
        <v>4067796.61016949</v>
      </c>
      <c r="E52" s="18" t="n">
        <f aca="false">SUM(I41:I43)</f>
        <v>913689.700130378</v>
      </c>
      <c r="F52" s="21" t="n">
        <f aca="false">IFERROR(E52/D52,0)</f>
        <v>0.224615384615385</v>
      </c>
      <c r="G52" s="128"/>
      <c r="H52" s="128"/>
      <c r="I52" s="128"/>
      <c r="J52" s="128"/>
    </row>
    <row r="53" customFormat="false" ht="15" hidden="false" customHeight="false" outlineLevel="0" collapsed="false">
      <c r="A53" s="15" t="s">
        <v>335</v>
      </c>
      <c r="B53" s="107" t="s">
        <v>336</v>
      </c>
      <c r="C53" s="178" t="n">
        <f aca="false">SUM(E44:E46)</f>
        <v>234680.573663625</v>
      </c>
      <c r="D53" s="180" t="n">
        <f aca="false">SUM(F44:F46)</f>
        <v>4576271.18644068</v>
      </c>
      <c r="E53" s="18" t="n">
        <f aca="false">SUM(I44:I46)</f>
        <v>1027900.91264668</v>
      </c>
      <c r="F53" s="21" t="n">
        <f aca="false">IFERROR(E53/D53,0)</f>
        <v>0.224615384615385</v>
      </c>
      <c r="G53" s="128"/>
      <c r="H53" s="128"/>
      <c r="I53" s="128"/>
      <c r="J53" s="128"/>
    </row>
    <row r="56" customFormat="false" ht="27.75" hidden="false" customHeight="true" outlineLevel="0" collapsed="false">
      <c r="A56" s="167" t="s">
        <v>337</v>
      </c>
      <c r="B56" s="168"/>
      <c r="C56" s="168"/>
      <c r="D56" s="168"/>
      <c r="E56" s="169" t="n">
        <f aca="false">SUM(E35:E46)</f>
        <v>782268.578878748</v>
      </c>
      <c r="F56" s="170" t="n">
        <f aca="false">SUM(F35:F46)</f>
        <v>15254237.2881356</v>
      </c>
      <c r="G56" s="171" t="n">
        <f aca="false">SUM(G35:G46)</f>
        <v>2745762.71186441</v>
      </c>
      <c r="H56" s="172" t="n">
        <f aca="false">SUM(H35:H46)</f>
        <v>12508474.5762712</v>
      </c>
      <c r="I56" s="170" t="n">
        <f aca="false">SUM(I35:I46)</f>
        <v>3426336.37548892</v>
      </c>
      <c r="J56" s="173" t="n">
        <f aca="false">IFERROR(I56/F56,0)</f>
        <v>0.224615384615385</v>
      </c>
    </row>
  </sheetData>
  <mergeCells count="21">
    <mergeCell ref="A1:J1"/>
    <mergeCell ref="A2:J2"/>
    <mergeCell ref="A4:J4"/>
    <mergeCell ref="E5:J5"/>
    <mergeCell ref="E6:J6"/>
    <mergeCell ref="E7:J7"/>
    <mergeCell ref="E8:J8"/>
    <mergeCell ref="A10:J10"/>
    <mergeCell ref="A24:J24"/>
    <mergeCell ref="G25:J25"/>
    <mergeCell ref="G26:J26"/>
    <mergeCell ref="G27:J27"/>
    <mergeCell ref="G28:J28"/>
    <mergeCell ref="G29:J29"/>
    <mergeCell ref="A33:J33"/>
    <mergeCell ref="A48:J48"/>
    <mergeCell ref="G49:J49"/>
    <mergeCell ref="G50:J50"/>
    <mergeCell ref="G51:J51"/>
    <mergeCell ref="G52:J52"/>
    <mergeCell ref="G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400E"/>
    <pageSetUpPr fitToPage="false"/>
  </sheetPr>
  <dimension ref="A1:J5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181" t="s">
        <v>342</v>
      </c>
      <c r="B1" s="181"/>
      <c r="C1" s="181"/>
      <c r="D1" s="181"/>
      <c r="E1" s="181"/>
      <c r="F1" s="181"/>
      <c r="G1" s="181"/>
      <c r="H1" s="181"/>
      <c r="I1" s="181"/>
      <c r="J1" s="181"/>
    </row>
    <row r="2" customFormat="false" ht="19.5" hidden="false" customHeight="true" outlineLevel="0" collapsed="false">
      <c r="A2" s="2" t="s">
        <v>343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3" t="s">
        <v>260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 t="s">
        <v>261</v>
      </c>
      <c r="B5" s="6" t="s">
        <v>262</v>
      </c>
      <c r="C5" s="6" t="s">
        <v>263</v>
      </c>
      <c r="D5" s="7" t="s">
        <v>264</v>
      </c>
      <c r="E5" s="154" t="s">
        <v>46</v>
      </c>
      <c r="F5" s="154"/>
      <c r="G5" s="154"/>
      <c r="H5" s="154"/>
      <c r="I5" s="154"/>
      <c r="J5" s="154"/>
    </row>
    <row r="6" customFormat="false" ht="27.75" hidden="false" customHeight="true" outlineLevel="0" collapsed="false">
      <c r="A6" s="22" t="s">
        <v>265</v>
      </c>
      <c r="B6" s="87" t="s">
        <v>266</v>
      </c>
      <c r="C6" s="87" t="s">
        <v>267</v>
      </c>
      <c r="D6" s="78" t="s">
        <v>268</v>
      </c>
      <c r="E6" s="77" t="s">
        <v>269</v>
      </c>
      <c r="F6" s="77"/>
      <c r="G6" s="77"/>
      <c r="H6" s="77"/>
      <c r="I6" s="77"/>
      <c r="J6" s="77"/>
    </row>
    <row r="7" customFormat="false" ht="27.75" hidden="false" customHeight="true" outlineLevel="0" collapsed="false">
      <c r="A7" s="22" t="s">
        <v>270</v>
      </c>
      <c r="B7" s="87" t="s">
        <v>271</v>
      </c>
      <c r="C7" s="87" t="s">
        <v>272</v>
      </c>
      <c r="D7" s="78" t="s">
        <v>273</v>
      </c>
      <c r="E7" s="77" t="s">
        <v>274</v>
      </c>
      <c r="F7" s="77"/>
      <c r="G7" s="77"/>
      <c r="H7" s="77"/>
      <c r="I7" s="77"/>
      <c r="J7" s="77"/>
    </row>
    <row r="8" customFormat="false" ht="27.75" hidden="false" customHeight="true" outlineLevel="0" collapsed="false">
      <c r="A8" s="22" t="s">
        <v>275</v>
      </c>
      <c r="B8" s="87" t="s">
        <v>276</v>
      </c>
      <c r="C8" s="87" t="s">
        <v>277</v>
      </c>
      <c r="D8" s="78" t="s">
        <v>278</v>
      </c>
      <c r="E8" s="77" t="s">
        <v>279</v>
      </c>
      <c r="F8" s="77"/>
      <c r="G8" s="77"/>
      <c r="H8" s="77"/>
      <c r="I8" s="77"/>
      <c r="J8" s="77"/>
    </row>
    <row r="10" customFormat="false" ht="24" hidden="false" customHeight="true" outlineLevel="0" collapsed="false">
      <c r="A10" s="3" t="s">
        <v>344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30" hidden="false" customHeight="true" outlineLevel="0" collapsed="false">
      <c r="A11" s="4" t="s">
        <v>281</v>
      </c>
      <c r="B11" s="6" t="s">
        <v>282</v>
      </c>
      <c r="C11" s="6" t="s">
        <v>261</v>
      </c>
      <c r="D11" s="6" t="s">
        <v>283</v>
      </c>
      <c r="E11" s="6" t="s">
        <v>20</v>
      </c>
      <c r="F11" s="6" t="s">
        <v>284</v>
      </c>
      <c r="G11" s="6" t="s">
        <v>285</v>
      </c>
      <c r="H11" s="6" t="s">
        <v>286</v>
      </c>
      <c r="I11" s="6" t="s">
        <v>21</v>
      </c>
      <c r="J11" s="6" t="s">
        <v>287</v>
      </c>
    </row>
    <row r="12" customFormat="false" ht="15" hidden="false" customHeight="false" outlineLevel="0" collapsed="false">
      <c r="A12" s="122" t="s">
        <v>288</v>
      </c>
      <c r="B12" s="155" t="n">
        <v>1</v>
      </c>
      <c r="C12" s="182" t="s">
        <v>289</v>
      </c>
      <c r="D12" s="157" t="n">
        <f aca="false">0.08*הנחות!$B$52</f>
        <v>0.0048</v>
      </c>
      <c r="E12" s="158" t="n">
        <f aca="false">(הנחות!$B$22/12)*D12/(הנחות!$B$51/(1-הנחות!$B$15)*(1+הנחות!$B$13))</f>
        <v>16688.3963494133</v>
      </c>
      <c r="F12" s="159" t="n">
        <f aca="false">E12*הנחות!$B$51</f>
        <v>108474.576271186</v>
      </c>
      <c r="G12" s="160" t="n">
        <f aca="false">F12*הנחות!$B$16</f>
        <v>19525.4237288136</v>
      </c>
      <c r="H12" s="63" t="n">
        <f aca="false">F12-G12</f>
        <v>88949.1525423729</v>
      </c>
      <c r="I12" s="159" t="n">
        <f aca="false">H12-E12*הנחות!$B$9</f>
        <v>24365.0586701434</v>
      </c>
      <c r="J12" s="157" t="n">
        <f aca="false">IFERROR(I12/F12,0)</f>
        <v>0.224615384615385</v>
      </c>
    </row>
    <row r="13" customFormat="false" ht="15" hidden="false" customHeight="false" outlineLevel="0" collapsed="false">
      <c r="A13" s="83" t="s">
        <v>290</v>
      </c>
      <c r="B13" s="183" t="n">
        <v>2</v>
      </c>
      <c r="C13" s="184" t="s">
        <v>289</v>
      </c>
      <c r="D13" s="28" t="n">
        <f aca="false">0.18*הנחות!$B$52</f>
        <v>0.0108</v>
      </c>
      <c r="E13" s="185" t="n">
        <f aca="false">(הנחות!$B$22/12)*D13/(הנחות!$B$51/(1-הנחות!$B$15)*(1+הנחות!$B$13))</f>
        <v>37548.8917861799</v>
      </c>
      <c r="F13" s="25" t="n">
        <f aca="false">E13*הנחות!$B$51</f>
        <v>244067.796610169</v>
      </c>
      <c r="G13" s="186" t="n">
        <f aca="false">F13*הנחות!$B$16</f>
        <v>43932.2033898305</v>
      </c>
      <c r="H13" s="34" t="n">
        <f aca="false">F13-G13</f>
        <v>200135.593220339</v>
      </c>
      <c r="I13" s="25" t="n">
        <f aca="false">H13-E13*הנחות!$B$9</f>
        <v>54821.3820078227</v>
      </c>
      <c r="J13" s="28" t="n">
        <f aca="false">IFERROR(I13/F13,0)</f>
        <v>0.224615384615385</v>
      </c>
    </row>
    <row r="14" customFormat="false" ht="15" hidden="false" customHeight="false" outlineLevel="0" collapsed="false">
      <c r="A14" s="122" t="s">
        <v>291</v>
      </c>
      <c r="B14" s="155" t="n">
        <v>3</v>
      </c>
      <c r="C14" s="182" t="s">
        <v>289</v>
      </c>
      <c r="D14" s="157" t="n">
        <f aca="false">0.3*הנחות!$B$52</f>
        <v>0.018</v>
      </c>
      <c r="E14" s="158" t="n">
        <f aca="false">(הנחות!$B$22/12)*D14/(הנחות!$B$51/(1-הנחות!$B$15)*(1+הנחות!$B$13))</f>
        <v>62581.4863102999</v>
      </c>
      <c r="F14" s="159" t="n">
        <f aca="false">E14*הנחות!$B$51</f>
        <v>406779.661016949</v>
      </c>
      <c r="G14" s="160" t="n">
        <f aca="false">F14*הנחות!$B$16</f>
        <v>73220.3389830508</v>
      </c>
      <c r="H14" s="63" t="n">
        <f aca="false">F14-G14</f>
        <v>333559.322033898</v>
      </c>
      <c r="I14" s="159" t="n">
        <f aca="false">H14-E14*הנחות!$B$9</f>
        <v>91368.9700130378</v>
      </c>
      <c r="J14" s="157" t="n">
        <f aca="false">IFERROR(I14/F14,0)</f>
        <v>0.224615384615385</v>
      </c>
    </row>
    <row r="15" customFormat="false" ht="15" hidden="false" customHeight="false" outlineLevel="0" collapsed="false">
      <c r="A15" s="83" t="s">
        <v>292</v>
      </c>
      <c r="B15" s="183" t="n">
        <v>4</v>
      </c>
      <c r="C15" s="184" t="s">
        <v>289</v>
      </c>
      <c r="D15" s="28" t="n">
        <f aca="false">0.45*הנחות!$B$52</f>
        <v>0.027</v>
      </c>
      <c r="E15" s="185" t="n">
        <f aca="false">(הנחות!$B$22/12)*D15/(הנחות!$B$51/(1-הנחות!$B$15)*(1+הנחות!$B$13))</f>
        <v>93872.2294654498</v>
      </c>
      <c r="F15" s="25" t="n">
        <f aca="false">E15*הנחות!$B$51</f>
        <v>610169.491525424</v>
      </c>
      <c r="G15" s="186" t="n">
        <f aca="false">F15*הנחות!$B$16</f>
        <v>109830.508474576</v>
      </c>
      <c r="H15" s="34" t="n">
        <f aca="false">F15-G15</f>
        <v>500338.983050847</v>
      </c>
      <c r="I15" s="25" t="n">
        <f aca="false">H15-E15*הנחות!$B$9</f>
        <v>137053.455019557</v>
      </c>
      <c r="J15" s="28" t="n">
        <f aca="false">IFERROR(I15/F15,0)</f>
        <v>0.224615384615385</v>
      </c>
    </row>
    <row r="16" customFormat="false" ht="15" hidden="false" customHeight="false" outlineLevel="0" collapsed="false">
      <c r="A16" s="122" t="s">
        <v>293</v>
      </c>
      <c r="B16" s="155" t="n">
        <v>5</v>
      </c>
      <c r="C16" s="182" t="s">
        <v>289</v>
      </c>
      <c r="D16" s="157" t="n">
        <f aca="false">0.6*הנחות!$B$52</f>
        <v>0.036</v>
      </c>
      <c r="E16" s="158" t="n">
        <f aca="false">(הנחות!$B$22/12)*D16/(הנחות!$B$51/(1-הנחות!$B$15)*(1+הנחות!$B$13))</f>
        <v>125162.9726206</v>
      </c>
      <c r="F16" s="159" t="n">
        <f aca="false">E16*הנחות!$B$51</f>
        <v>813559.322033898</v>
      </c>
      <c r="G16" s="160" t="n">
        <f aca="false">F16*הנחות!$B$16</f>
        <v>146440.677966102</v>
      </c>
      <c r="H16" s="63" t="n">
        <f aca="false">F16-G16</f>
        <v>667118.644067796</v>
      </c>
      <c r="I16" s="159" t="n">
        <f aca="false">H16-E16*הנחות!$B$9</f>
        <v>182737.940026076</v>
      </c>
      <c r="J16" s="157" t="n">
        <f aca="false">IFERROR(I16/F16,0)</f>
        <v>0.224615384615385</v>
      </c>
    </row>
    <row r="17" customFormat="false" ht="15" hidden="false" customHeight="false" outlineLevel="0" collapsed="false">
      <c r="A17" s="83" t="s">
        <v>294</v>
      </c>
      <c r="B17" s="183" t="n">
        <v>6</v>
      </c>
      <c r="C17" s="184" t="s">
        <v>289</v>
      </c>
      <c r="D17" s="28" t="n">
        <f aca="false">0.72*הנחות!$B$52</f>
        <v>0.0432</v>
      </c>
      <c r="E17" s="185" t="n">
        <f aca="false">(הנחות!$B$22/12)*D17/(הנחות!$B$51/(1-הנחות!$B$15)*(1+הנחות!$B$13))</f>
        <v>150195.56714472</v>
      </c>
      <c r="F17" s="25" t="n">
        <f aca="false">E17*הנחות!$B$51</f>
        <v>976271.186440678</v>
      </c>
      <c r="G17" s="186" t="n">
        <f aca="false">F17*הנחות!$B$16</f>
        <v>175728.813559322</v>
      </c>
      <c r="H17" s="34" t="n">
        <f aca="false">F17-G17</f>
        <v>800542.372881356</v>
      </c>
      <c r="I17" s="25" t="n">
        <f aca="false">H17-E17*הנחות!$B$9</f>
        <v>219285.528031291</v>
      </c>
      <c r="J17" s="28" t="n">
        <f aca="false">IFERROR(I17/F17,0)</f>
        <v>0.224615384615385</v>
      </c>
    </row>
    <row r="18" customFormat="false" ht="15" hidden="false" customHeight="false" outlineLevel="0" collapsed="false">
      <c r="A18" s="122" t="s">
        <v>295</v>
      </c>
      <c r="B18" s="155" t="n">
        <v>7</v>
      </c>
      <c r="C18" s="182" t="s">
        <v>296</v>
      </c>
      <c r="D18" s="157" t="n">
        <f aca="false">0.82*הנחות!$B$52</f>
        <v>0.0492</v>
      </c>
      <c r="E18" s="158" t="n">
        <f aca="false">(הנחות!$B$22/12)*D18/(הנחות!$B$51/(1-הנחות!$B$15)*(1+הנחות!$B$13))</f>
        <v>171056.062581486</v>
      </c>
      <c r="F18" s="159" t="n">
        <f aca="false">E18*הנחות!$B$51</f>
        <v>1111864.40677966</v>
      </c>
      <c r="G18" s="160" t="n">
        <f aca="false">F18*הנחות!$B$16</f>
        <v>200135.593220339</v>
      </c>
      <c r="H18" s="63" t="n">
        <f aca="false">F18-G18</f>
        <v>911728.813559322</v>
      </c>
      <c r="I18" s="159" t="n">
        <f aca="false">H18-E18*הנחות!$B$9</f>
        <v>249741.85136897</v>
      </c>
      <c r="J18" s="157" t="n">
        <f aca="false">IFERROR(I18/F18,0)</f>
        <v>0.224615384615385</v>
      </c>
    </row>
    <row r="19" customFormat="false" ht="15" hidden="false" customHeight="false" outlineLevel="0" collapsed="false">
      <c r="A19" s="83" t="s">
        <v>297</v>
      </c>
      <c r="B19" s="183" t="n">
        <v>8</v>
      </c>
      <c r="C19" s="184" t="s">
        <v>296</v>
      </c>
      <c r="D19" s="28" t="n">
        <f aca="false">0.88*הנחות!$B$52</f>
        <v>0.0528</v>
      </c>
      <c r="E19" s="185" t="n">
        <f aca="false">(הנחות!$B$22/12)*D19/(הנחות!$B$51/(1-הנחות!$B$15)*(1+הנחות!$B$13))</f>
        <v>183572.359843546</v>
      </c>
      <c r="F19" s="25" t="n">
        <f aca="false">E19*הנחות!$B$51</f>
        <v>1193220.33898305</v>
      </c>
      <c r="G19" s="186" t="n">
        <f aca="false">F19*הנחות!$B$16</f>
        <v>214779.661016949</v>
      </c>
      <c r="H19" s="34" t="n">
        <f aca="false">F19-G19</f>
        <v>978440.677966102</v>
      </c>
      <c r="I19" s="25" t="n">
        <f aca="false">H19-E19*הנחות!$B$9</f>
        <v>268015.645371578</v>
      </c>
      <c r="J19" s="28" t="n">
        <f aca="false">IFERROR(I19/F19,0)</f>
        <v>0.224615384615385</v>
      </c>
    </row>
    <row r="20" customFormat="false" ht="15" hidden="false" customHeight="false" outlineLevel="0" collapsed="false">
      <c r="A20" s="122" t="s">
        <v>298</v>
      </c>
      <c r="B20" s="155" t="n">
        <v>9</v>
      </c>
      <c r="C20" s="182" t="s">
        <v>296</v>
      </c>
      <c r="D20" s="157" t="n">
        <f aca="false">0.92*הנחות!$B$52</f>
        <v>0.0552</v>
      </c>
      <c r="E20" s="158" t="n">
        <f aca="false">(הנחות!$B$22/12)*D20/(הנחות!$B$51/(1-הנחות!$B$15)*(1+הנחות!$B$13))</f>
        <v>191916.558018253</v>
      </c>
      <c r="F20" s="159" t="n">
        <f aca="false">E20*הנחות!$B$51</f>
        <v>1247457.62711864</v>
      </c>
      <c r="G20" s="160" t="n">
        <f aca="false">F20*הנחות!$B$16</f>
        <v>224542.372881356</v>
      </c>
      <c r="H20" s="63" t="n">
        <f aca="false">F20-G20</f>
        <v>1022915.25423729</v>
      </c>
      <c r="I20" s="159" t="n">
        <f aca="false">H20-E20*הנחות!$B$9</f>
        <v>280198.174706649</v>
      </c>
      <c r="J20" s="157" t="n">
        <f aca="false">IFERROR(I20/F20,0)</f>
        <v>0.224615384615385</v>
      </c>
    </row>
    <row r="21" customFormat="false" ht="15" hidden="false" customHeight="false" outlineLevel="0" collapsed="false">
      <c r="A21" s="83" t="s">
        <v>299</v>
      </c>
      <c r="B21" s="183" t="n">
        <v>10</v>
      </c>
      <c r="C21" s="184" t="s">
        <v>296</v>
      </c>
      <c r="D21" s="28" t="n">
        <f aca="false">0.95*הנחות!$B$52</f>
        <v>0.057</v>
      </c>
      <c r="E21" s="185" t="n">
        <f aca="false">(הנחות!$B$22/12)*D21/(הנחות!$B$51/(1-הנחות!$B$15)*(1+הנחות!$B$13))</f>
        <v>198174.706649283</v>
      </c>
      <c r="F21" s="25" t="n">
        <f aca="false">E21*הנחות!$B$51</f>
        <v>1288135.59322034</v>
      </c>
      <c r="G21" s="186" t="n">
        <f aca="false">F21*הנחות!$B$16</f>
        <v>231864.406779661</v>
      </c>
      <c r="H21" s="34" t="n">
        <f aca="false">F21-G21</f>
        <v>1056271.18644068</v>
      </c>
      <c r="I21" s="25" t="n">
        <f aca="false">H21-E21*הנחות!$B$9</f>
        <v>289335.071707953</v>
      </c>
      <c r="J21" s="28" t="n">
        <f aca="false">IFERROR(I21/F21,0)</f>
        <v>0.224615384615385</v>
      </c>
    </row>
    <row r="22" customFormat="false" ht="15" hidden="false" customHeight="false" outlineLevel="0" collapsed="false">
      <c r="A22" s="122" t="s">
        <v>300</v>
      </c>
      <c r="B22" s="155" t="n">
        <v>11</v>
      </c>
      <c r="C22" s="182" t="s">
        <v>296</v>
      </c>
      <c r="D22" s="157" t="n">
        <f aca="false">0.98*הנחות!$B$52</f>
        <v>0.0588</v>
      </c>
      <c r="E22" s="158" t="n">
        <f aca="false">(הנחות!$B$22/12)*D22/(הנחות!$B$51/(1-הנחות!$B$15)*(1+הנחות!$B$13))</f>
        <v>204432.855280313</v>
      </c>
      <c r="F22" s="159" t="n">
        <f aca="false">E22*הנחות!$B$51</f>
        <v>1328813.55932203</v>
      </c>
      <c r="G22" s="160" t="n">
        <f aca="false">F22*הנחות!$B$16</f>
        <v>239186.440677966</v>
      </c>
      <c r="H22" s="63" t="n">
        <f aca="false">F22-G22</f>
        <v>1089627.11864407</v>
      </c>
      <c r="I22" s="159" t="n">
        <f aca="false">H22-E22*הנחות!$B$9</f>
        <v>298471.968709257</v>
      </c>
      <c r="J22" s="157" t="n">
        <f aca="false">IFERROR(I22/F22,0)</f>
        <v>0.224615384615385</v>
      </c>
    </row>
    <row r="23" customFormat="false" ht="15" hidden="false" customHeight="false" outlineLevel="0" collapsed="false">
      <c r="A23" s="83" t="s">
        <v>301</v>
      </c>
      <c r="B23" s="183" t="n">
        <v>12</v>
      </c>
      <c r="C23" s="184" t="s">
        <v>296</v>
      </c>
      <c r="D23" s="28" t="n">
        <f aca="false">1*הנחות!$B$52</f>
        <v>0.06</v>
      </c>
      <c r="E23" s="185" t="n">
        <f aca="false">(הנחות!$B$22/12)*D23/(הנחות!$B$51/(1-הנחות!$B$15)*(1+הנחות!$B$13))</f>
        <v>208604.954367666</v>
      </c>
      <c r="F23" s="25" t="n">
        <f aca="false">E23*הנחות!$B$51</f>
        <v>1355932.20338983</v>
      </c>
      <c r="G23" s="186" t="n">
        <f aca="false">F23*הנחות!$B$16</f>
        <v>244067.796610169</v>
      </c>
      <c r="H23" s="34" t="n">
        <f aca="false">F23-G23</f>
        <v>1111864.40677966</v>
      </c>
      <c r="I23" s="25" t="n">
        <f aca="false">H23-E23*הנחות!$B$9</f>
        <v>304563.233376793</v>
      </c>
      <c r="J23" s="28" t="n">
        <f aca="false">IFERROR(I23/F23,0)</f>
        <v>0.224615384615385</v>
      </c>
    </row>
    <row r="24" customFormat="false" ht="24" hidden="false" customHeight="true" outlineLevel="0" collapsed="false">
      <c r="A24" s="165" t="s">
        <v>302</v>
      </c>
      <c r="B24" s="165"/>
      <c r="C24" s="165"/>
      <c r="D24" s="165"/>
      <c r="E24" s="165"/>
      <c r="F24" s="165"/>
      <c r="G24" s="165"/>
      <c r="H24" s="165"/>
      <c r="I24" s="165"/>
      <c r="J24" s="165"/>
    </row>
    <row r="25" customFormat="false" ht="15" hidden="false" customHeight="false" outlineLevel="0" collapsed="false">
      <c r="A25" s="4" t="s">
        <v>303</v>
      </c>
      <c r="B25" s="6" t="s">
        <v>262</v>
      </c>
      <c r="C25" s="6" t="s">
        <v>20</v>
      </c>
      <c r="D25" s="6" t="s">
        <v>284</v>
      </c>
      <c r="E25" s="6" t="s">
        <v>21</v>
      </c>
      <c r="F25" s="6" t="s">
        <v>287</v>
      </c>
      <c r="G25" s="154" t="s">
        <v>304</v>
      </c>
      <c r="H25" s="154"/>
      <c r="I25" s="154"/>
      <c r="J25" s="154"/>
    </row>
    <row r="26" customFormat="false" ht="15" hidden="false" customHeight="false" outlineLevel="0" collapsed="false">
      <c r="A26" s="22" t="s">
        <v>305</v>
      </c>
      <c r="B26" s="86" t="s">
        <v>306</v>
      </c>
      <c r="C26" s="185" t="n">
        <f aca="false">SUM(E12:E14)</f>
        <v>116818.774445893</v>
      </c>
      <c r="D26" s="187" t="n">
        <f aca="false">SUM(F12:F14)</f>
        <v>759322.033898305</v>
      </c>
      <c r="E26" s="25" t="n">
        <f aca="false">SUM(I12:I14)</f>
        <v>170555.410691004</v>
      </c>
      <c r="F26" s="28" t="n">
        <f aca="false">IFERROR(E26/D26,0)</f>
        <v>0.224615384615385</v>
      </c>
      <c r="G26" s="129"/>
      <c r="H26" s="129"/>
      <c r="I26" s="129"/>
      <c r="J26" s="129"/>
    </row>
    <row r="27" customFormat="false" ht="15" hidden="false" customHeight="false" outlineLevel="0" collapsed="false">
      <c r="A27" s="22" t="s">
        <v>307</v>
      </c>
      <c r="B27" s="86" t="s">
        <v>308</v>
      </c>
      <c r="C27" s="185" t="n">
        <f aca="false">SUM(E15:E17)</f>
        <v>369230.769230769</v>
      </c>
      <c r="D27" s="187" t="n">
        <f aca="false">SUM(F15:F17)</f>
        <v>2400000</v>
      </c>
      <c r="E27" s="25" t="n">
        <f aca="false">SUM(I15:I17)</f>
        <v>539076.923076923</v>
      </c>
      <c r="F27" s="28" t="n">
        <f aca="false">IFERROR(E27/D27,0)</f>
        <v>0.224615384615385</v>
      </c>
      <c r="G27" s="129"/>
      <c r="H27" s="129"/>
      <c r="I27" s="129"/>
      <c r="J27" s="129"/>
    </row>
    <row r="28" customFormat="false" ht="15" hidden="false" customHeight="false" outlineLevel="0" collapsed="false">
      <c r="A28" s="22" t="s">
        <v>309</v>
      </c>
      <c r="B28" s="86" t="s">
        <v>310</v>
      </c>
      <c r="C28" s="185" t="n">
        <f aca="false">SUM(E18:E20)</f>
        <v>546544.980443286</v>
      </c>
      <c r="D28" s="187" t="n">
        <f aca="false">SUM(F18:F20)</f>
        <v>3552542.37288136</v>
      </c>
      <c r="E28" s="25" t="n">
        <f aca="false">SUM(I18:I20)</f>
        <v>797955.671447197</v>
      </c>
      <c r="F28" s="28" t="n">
        <f aca="false">IFERROR(E28/D28,0)</f>
        <v>0.224615384615385</v>
      </c>
      <c r="G28" s="129"/>
      <c r="H28" s="129"/>
      <c r="I28" s="129"/>
      <c r="J28" s="129"/>
    </row>
    <row r="29" customFormat="false" ht="15" hidden="false" customHeight="false" outlineLevel="0" collapsed="false">
      <c r="A29" s="22" t="s">
        <v>311</v>
      </c>
      <c r="B29" s="86" t="s">
        <v>312</v>
      </c>
      <c r="C29" s="185" t="n">
        <f aca="false">SUM(E21:E23)</f>
        <v>611212.516297262</v>
      </c>
      <c r="D29" s="187" t="n">
        <f aca="false">SUM(F21:F23)</f>
        <v>3972881.3559322</v>
      </c>
      <c r="E29" s="25" t="n">
        <f aca="false">SUM(I21:I23)</f>
        <v>892370.273794002</v>
      </c>
      <c r="F29" s="28" t="n">
        <f aca="false">IFERROR(E29/D29,0)</f>
        <v>0.224615384615385</v>
      </c>
      <c r="G29" s="129"/>
      <c r="H29" s="129"/>
      <c r="I29" s="129"/>
      <c r="J29" s="129"/>
    </row>
    <row r="31" customFormat="false" ht="27.75" hidden="false" customHeight="true" outlineLevel="0" collapsed="false">
      <c r="A31" s="167" t="s">
        <v>313</v>
      </c>
      <c r="B31" s="168"/>
      <c r="C31" s="168"/>
      <c r="D31" s="168"/>
      <c r="E31" s="169" t="n">
        <f aca="false">SUM(E12:E23)</f>
        <v>1643807.04041721</v>
      </c>
      <c r="F31" s="170" t="n">
        <f aca="false">SUM(F12:F23)</f>
        <v>10684745.7627119</v>
      </c>
      <c r="G31" s="171" t="n">
        <f aca="false">SUM(G12:G23)</f>
        <v>1923254.23728814</v>
      </c>
      <c r="H31" s="172" t="n">
        <f aca="false">SUM(H12:H23)</f>
        <v>8761491.52542373</v>
      </c>
      <c r="I31" s="170" t="n">
        <f aca="false">SUM(I12:I23)</f>
        <v>2399958.27900913</v>
      </c>
      <c r="J31" s="173" t="n">
        <f aca="false">IFERROR(I31/F31,0)</f>
        <v>0.224615384615385</v>
      </c>
    </row>
    <row r="33" customFormat="false" ht="24" hidden="false" customHeight="true" outlineLevel="0" collapsed="false">
      <c r="A33" s="3" t="s">
        <v>345</v>
      </c>
      <c r="B33" s="3"/>
      <c r="C33" s="3"/>
      <c r="D33" s="3"/>
      <c r="E33" s="3"/>
      <c r="F33" s="3"/>
      <c r="G33" s="3"/>
      <c r="H33" s="3"/>
      <c r="I33" s="3"/>
      <c r="J33" s="3"/>
    </row>
    <row r="34" customFormat="false" ht="30" hidden="false" customHeight="true" outlineLevel="0" collapsed="false">
      <c r="A34" s="4" t="s">
        <v>281</v>
      </c>
      <c r="B34" s="6" t="s">
        <v>282</v>
      </c>
      <c r="C34" s="6" t="s">
        <v>261</v>
      </c>
      <c r="D34" s="6" t="s">
        <v>283</v>
      </c>
      <c r="E34" s="6" t="s">
        <v>20</v>
      </c>
      <c r="F34" s="6" t="s">
        <v>284</v>
      </c>
      <c r="G34" s="6" t="s">
        <v>285</v>
      </c>
      <c r="H34" s="6" t="s">
        <v>286</v>
      </c>
      <c r="I34" s="6" t="s">
        <v>21</v>
      </c>
      <c r="J34" s="6" t="s">
        <v>287</v>
      </c>
    </row>
    <row r="35" customFormat="false" ht="15" hidden="false" customHeight="false" outlineLevel="0" collapsed="false">
      <c r="A35" s="122" t="s">
        <v>315</v>
      </c>
      <c r="B35" s="155" t="n">
        <v>13</v>
      </c>
      <c r="C35" s="182" t="s">
        <v>296</v>
      </c>
      <c r="D35" s="157" t="n">
        <f aca="false">הנחות!$B$52+(הנחות!$B$53-הנחות!$B$52)*0.0833333333333333</f>
        <v>0.0625</v>
      </c>
      <c r="E35" s="158" t="n">
        <f aca="false">(הנחות!$B$22/12)*D35/(הנחות!$B$51/(1-הנחות!$B$15)*(1+הנחות!$B$13))</f>
        <v>217296.827466319</v>
      </c>
      <c r="F35" s="159" t="n">
        <f aca="false">E35*הנחות!$B$51</f>
        <v>1412429.37853107</v>
      </c>
      <c r="G35" s="160" t="n">
        <f aca="false">F35*הנחות!$B$16</f>
        <v>254237.288135593</v>
      </c>
      <c r="H35" s="63" t="n">
        <f aca="false">F35-G35</f>
        <v>1158192.09039548</v>
      </c>
      <c r="I35" s="159" t="n">
        <f aca="false">H35-E35*הנחות!$B$9</f>
        <v>317253.368100825</v>
      </c>
      <c r="J35" s="157" t="n">
        <f aca="false">IFERROR(I35/F35,0)</f>
        <v>0.224615384615384</v>
      </c>
    </row>
    <row r="36" customFormat="false" ht="15" hidden="false" customHeight="false" outlineLevel="0" collapsed="false">
      <c r="A36" s="83" t="s">
        <v>316</v>
      </c>
      <c r="B36" s="183" t="n">
        <v>14</v>
      </c>
      <c r="C36" s="184" t="s">
        <v>296</v>
      </c>
      <c r="D36" s="28" t="n">
        <f aca="false">הנחות!$B$52+(הנחות!$B$53-הנחות!$B$52)*0.166666666666667</f>
        <v>0.065</v>
      </c>
      <c r="E36" s="185" t="n">
        <f aca="false">(הנחות!$B$22/12)*D36/(הנחות!$B$51/(1-הנחות!$B$15)*(1+הנחות!$B$13))</f>
        <v>225988.700564972</v>
      </c>
      <c r="F36" s="25" t="n">
        <f aca="false">E36*הנחות!$B$51</f>
        <v>1468926.55367232</v>
      </c>
      <c r="G36" s="186" t="n">
        <f aca="false">F36*הנחות!$B$16</f>
        <v>264406.779661017</v>
      </c>
      <c r="H36" s="34" t="n">
        <f aca="false">F36-G36</f>
        <v>1204519.7740113</v>
      </c>
      <c r="I36" s="25" t="n">
        <f aca="false">H36-E36*הנחות!$B$9</f>
        <v>329943.502824859</v>
      </c>
      <c r="J36" s="28" t="n">
        <f aca="false">IFERROR(I36/F36,0)</f>
        <v>0.224615384615385</v>
      </c>
    </row>
    <row r="37" customFormat="false" ht="15" hidden="false" customHeight="false" outlineLevel="0" collapsed="false">
      <c r="A37" s="122" t="s">
        <v>317</v>
      </c>
      <c r="B37" s="155" t="n">
        <v>15</v>
      </c>
      <c r="C37" s="182" t="s">
        <v>296</v>
      </c>
      <c r="D37" s="157" t="n">
        <f aca="false">הנחות!$B$52+(הנחות!$B$53-הנחות!$B$52)*0.25</f>
        <v>0.0675</v>
      </c>
      <c r="E37" s="158" t="n">
        <f aca="false">(הנחות!$B$22/12)*D37/(הנחות!$B$51/(1-הנחות!$B$15)*(1+הנחות!$B$13))</f>
        <v>234680.573663625</v>
      </c>
      <c r="F37" s="159" t="n">
        <f aca="false">E37*הנחות!$B$51</f>
        <v>1525423.72881356</v>
      </c>
      <c r="G37" s="160" t="n">
        <f aca="false">F37*הנחות!$B$16</f>
        <v>274576.271186441</v>
      </c>
      <c r="H37" s="63" t="n">
        <f aca="false">F37-G37</f>
        <v>1250847.45762712</v>
      </c>
      <c r="I37" s="159" t="n">
        <f aca="false">H37-E37*הנחות!$B$9</f>
        <v>342633.637548892</v>
      </c>
      <c r="J37" s="157" t="n">
        <f aca="false">IFERROR(I37/F37,0)</f>
        <v>0.224615384615385</v>
      </c>
    </row>
    <row r="38" customFormat="false" ht="15" hidden="false" customHeight="false" outlineLevel="0" collapsed="false">
      <c r="A38" s="83" t="s">
        <v>318</v>
      </c>
      <c r="B38" s="183" t="n">
        <v>16</v>
      </c>
      <c r="C38" s="184" t="s">
        <v>296</v>
      </c>
      <c r="D38" s="28" t="n">
        <f aca="false">הנחות!$B$52+(הנחות!$B$53-הנחות!$B$52)*0.333333333333333</f>
        <v>0.07</v>
      </c>
      <c r="E38" s="185" t="n">
        <f aca="false">(הנחות!$B$22/12)*D38/(הנחות!$B$51/(1-הנחות!$B$15)*(1+הנחות!$B$13))</f>
        <v>243372.446762277</v>
      </c>
      <c r="F38" s="25" t="n">
        <f aca="false">E38*הנחות!$B$51</f>
        <v>1581920.9039548</v>
      </c>
      <c r="G38" s="186" t="n">
        <f aca="false">F38*הנחות!$B$16</f>
        <v>284745.762711864</v>
      </c>
      <c r="H38" s="34" t="n">
        <f aca="false">F38-G38</f>
        <v>1297175.14124294</v>
      </c>
      <c r="I38" s="25" t="n">
        <f aca="false">H38-E38*הנחות!$B$9</f>
        <v>355323.772272925</v>
      </c>
      <c r="J38" s="28" t="n">
        <f aca="false">IFERROR(I38/F38,0)</f>
        <v>0.224615384615385</v>
      </c>
    </row>
    <row r="39" customFormat="false" ht="15" hidden="false" customHeight="false" outlineLevel="0" collapsed="false">
      <c r="A39" s="122" t="s">
        <v>319</v>
      </c>
      <c r="B39" s="155" t="n">
        <v>17</v>
      </c>
      <c r="C39" s="182" t="s">
        <v>296</v>
      </c>
      <c r="D39" s="157" t="n">
        <f aca="false">הנחות!$B$52+(הנחות!$B$53-הנחות!$B$52)*0.416666666666667</f>
        <v>0.0725</v>
      </c>
      <c r="E39" s="158" t="n">
        <f aca="false">(הנחות!$B$22/12)*D39/(הנחות!$B$51/(1-הנחות!$B$15)*(1+הנחות!$B$13))</f>
        <v>252064.31986093</v>
      </c>
      <c r="F39" s="159" t="n">
        <f aca="false">E39*הנחות!$B$51</f>
        <v>1638418.07909605</v>
      </c>
      <c r="G39" s="160" t="n">
        <f aca="false">F39*הנחות!$B$16</f>
        <v>294915.254237288</v>
      </c>
      <c r="H39" s="63" t="n">
        <f aca="false">F39-G39</f>
        <v>1343502.82485876</v>
      </c>
      <c r="I39" s="159" t="n">
        <f aca="false">H39-E39*הנחות!$B$9</f>
        <v>368013.906996958</v>
      </c>
      <c r="J39" s="157" t="n">
        <f aca="false">IFERROR(I39/F39,0)</f>
        <v>0.224615384615385</v>
      </c>
    </row>
    <row r="40" customFormat="false" ht="15" hidden="false" customHeight="false" outlineLevel="0" collapsed="false">
      <c r="A40" s="83" t="s">
        <v>320</v>
      </c>
      <c r="B40" s="183" t="n">
        <v>18</v>
      </c>
      <c r="C40" s="184" t="s">
        <v>296</v>
      </c>
      <c r="D40" s="28" t="n">
        <f aca="false">הנחות!$B$52+(הנחות!$B$53-הנחות!$B$52)*0.5</f>
        <v>0.075</v>
      </c>
      <c r="E40" s="185" t="n">
        <f aca="false">(הנחות!$B$22/12)*D40/(הנחות!$B$51/(1-הנחות!$B$15)*(1+הנחות!$B$13))</f>
        <v>260756.192959583</v>
      </c>
      <c r="F40" s="25" t="n">
        <f aca="false">E40*הנחות!$B$51</f>
        <v>1694915.25423729</v>
      </c>
      <c r="G40" s="186" t="n">
        <f aca="false">F40*הנחות!$B$16</f>
        <v>305084.745762712</v>
      </c>
      <c r="H40" s="34" t="n">
        <f aca="false">F40-G40</f>
        <v>1389830.50847458</v>
      </c>
      <c r="I40" s="25" t="n">
        <f aca="false">H40-E40*הנחות!$B$9</f>
        <v>380704.041720991</v>
      </c>
      <c r="J40" s="28" t="n">
        <f aca="false">IFERROR(I40/F40,0)</f>
        <v>0.224615384615385</v>
      </c>
    </row>
    <row r="41" customFormat="false" ht="15" hidden="false" customHeight="false" outlineLevel="0" collapsed="false">
      <c r="A41" s="122" t="s">
        <v>321</v>
      </c>
      <c r="B41" s="155" t="n">
        <v>19</v>
      </c>
      <c r="C41" s="182" t="s">
        <v>322</v>
      </c>
      <c r="D41" s="157" t="n">
        <f aca="false">הנחות!$B$52+(הנחות!$B$53-הנחות!$B$52)*0.583333333333333</f>
        <v>0.0775</v>
      </c>
      <c r="E41" s="158" t="n">
        <f aca="false">(הנחות!$B$22/12)*D41/(הנחות!$B$51/(1-הנחות!$B$15)*(1+הנחות!$B$13))</f>
        <v>269448.066058236</v>
      </c>
      <c r="F41" s="159" t="n">
        <f aca="false">E41*הנחות!$B$51</f>
        <v>1751412.42937853</v>
      </c>
      <c r="G41" s="160" t="n">
        <f aca="false">F41*הנחות!$B$16</f>
        <v>315254.237288136</v>
      </c>
      <c r="H41" s="63" t="n">
        <f aca="false">F41-G41</f>
        <v>1436158.1920904</v>
      </c>
      <c r="I41" s="159" t="n">
        <f aca="false">H41-E41*הנחות!$B$9</f>
        <v>393394.176445024</v>
      </c>
      <c r="J41" s="157" t="n">
        <f aca="false">IFERROR(I41/F41,0)</f>
        <v>0.224615384615385</v>
      </c>
    </row>
    <row r="42" customFormat="false" ht="15" hidden="false" customHeight="false" outlineLevel="0" collapsed="false">
      <c r="A42" s="83" t="s">
        <v>323</v>
      </c>
      <c r="B42" s="183" t="n">
        <v>20</v>
      </c>
      <c r="C42" s="184" t="s">
        <v>322</v>
      </c>
      <c r="D42" s="28" t="n">
        <f aca="false">הנחות!$B$52+(הנחות!$B$53-הנחות!$B$52)*0.666666666666667</f>
        <v>0.08</v>
      </c>
      <c r="E42" s="185" t="n">
        <f aca="false">(הנחות!$B$22/12)*D42/(הנחות!$B$51/(1-הנחות!$B$15)*(1+הנחות!$B$13))</f>
        <v>278139.939156888</v>
      </c>
      <c r="F42" s="25" t="n">
        <f aca="false">E42*הנחות!$B$51</f>
        <v>1807909.60451977</v>
      </c>
      <c r="G42" s="186" t="n">
        <f aca="false">F42*הנחות!$B$16</f>
        <v>325423.728813559</v>
      </c>
      <c r="H42" s="34" t="n">
        <f aca="false">F42-G42</f>
        <v>1482485.87570621</v>
      </c>
      <c r="I42" s="25" t="n">
        <f aca="false">H42-E42*הנחות!$B$9</f>
        <v>406084.311169057</v>
      </c>
      <c r="J42" s="28" t="n">
        <f aca="false">IFERROR(I42/F42,0)</f>
        <v>0.224615384615385</v>
      </c>
    </row>
    <row r="43" customFormat="false" ht="15" hidden="false" customHeight="false" outlineLevel="0" collapsed="false">
      <c r="A43" s="122" t="s">
        <v>324</v>
      </c>
      <c r="B43" s="155" t="n">
        <v>21</v>
      </c>
      <c r="C43" s="182" t="s">
        <v>322</v>
      </c>
      <c r="D43" s="157" t="n">
        <f aca="false">הנחות!$B$52+(הנחות!$B$53-הנחות!$B$52)*0.75</f>
        <v>0.0825</v>
      </c>
      <c r="E43" s="158" t="n">
        <f aca="false">(הנחות!$B$22/12)*D43/(הנחות!$B$51/(1-הנחות!$B$15)*(1+הנחות!$B$13))</f>
        <v>286831.812255541</v>
      </c>
      <c r="F43" s="159" t="n">
        <f aca="false">E43*הנחות!$B$51</f>
        <v>1864406.77966102</v>
      </c>
      <c r="G43" s="160" t="n">
        <f aca="false">F43*הנחות!$B$16</f>
        <v>335593.220338983</v>
      </c>
      <c r="H43" s="63" t="n">
        <f aca="false">F43-G43</f>
        <v>1528813.55932203</v>
      </c>
      <c r="I43" s="159" t="n">
        <f aca="false">H43-E43*הנחות!$B$9</f>
        <v>418774.44589309</v>
      </c>
      <c r="J43" s="157" t="n">
        <f aca="false">IFERROR(I43/F43,0)</f>
        <v>0.224615384615385</v>
      </c>
    </row>
    <row r="44" customFormat="false" ht="15" hidden="false" customHeight="false" outlineLevel="0" collapsed="false">
      <c r="A44" s="83" t="s">
        <v>325</v>
      </c>
      <c r="B44" s="183" t="n">
        <v>22</v>
      </c>
      <c r="C44" s="184" t="s">
        <v>322</v>
      </c>
      <c r="D44" s="28" t="n">
        <f aca="false">הנחות!$B$52+(הנחות!$B$53-הנחות!$B$52)*0.833333333333333</f>
        <v>0.085</v>
      </c>
      <c r="E44" s="185" t="n">
        <f aca="false">(הנחות!$B$22/12)*D44/(הנחות!$B$51/(1-הנחות!$B$15)*(1+הנחות!$B$13))</f>
        <v>295523.685354194</v>
      </c>
      <c r="F44" s="25" t="n">
        <f aca="false">E44*הנחות!$B$51</f>
        <v>1920903.95480226</v>
      </c>
      <c r="G44" s="186" t="n">
        <f aca="false">F44*הנחות!$B$16</f>
        <v>345762.711864407</v>
      </c>
      <c r="H44" s="34" t="n">
        <f aca="false">F44-G44</f>
        <v>1575141.24293785</v>
      </c>
      <c r="I44" s="25" t="n">
        <f aca="false">H44-E44*הנחות!$B$9</f>
        <v>431464.580617123</v>
      </c>
      <c r="J44" s="28" t="n">
        <f aca="false">IFERROR(I44/F44,0)</f>
        <v>0.224615384615385</v>
      </c>
    </row>
    <row r="45" customFormat="false" ht="15" hidden="false" customHeight="false" outlineLevel="0" collapsed="false">
      <c r="A45" s="122" t="s">
        <v>326</v>
      </c>
      <c r="B45" s="155" t="n">
        <v>23</v>
      </c>
      <c r="C45" s="182" t="s">
        <v>322</v>
      </c>
      <c r="D45" s="157" t="n">
        <f aca="false">הנחות!$B$52+(הנחות!$B$53-הנחות!$B$52)*0.916666666666667</f>
        <v>0.0875</v>
      </c>
      <c r="E45" s="158" t="n">
        <f aca="false">(הנחות!$B$22/12)*D45/(הנחות!$B$51/(1-הנחות!$B$15)*(1+הנחות!$B$13))</f>
        <v>304215.558452847</v>
      </c>
      <c r="F45" s="159" t="n">
        <f aca="false">E45*הנחות!$B$51</f>
        <v>1977401.1299435</v>
      </c>
      <c r="G45" s="160" t="n">
        <f aca="false">F45*הנחות!$B$16</f>
        <v>355932.203389831</v>
      </c>
      <c r="H45" s="63" t="n">
        <f aca="false">F45-G45</f>
        <v>1621468.92655367</v>
      </c>
      <c r="I45" s="159" t="n">
        <f aca="false">H45-E45*הנחות!$B$9</f>
        <v>444154.715341156</v>
      </c>
      <c r="J45" s="157" t="n">
        <f aca="false">IFERROR(I45/F45,0)</f>
        <v>0.224615384615385</v>
      </c>
    </row>
    <row r="46" customFormat="false" ht="15" hidden="false" customHeight="false" outlineLevel="0" collapsed="false">
      <c r="A46" s="83" t="s">
        <v>327</v>
      </c>
      <c r="B46" s="183" t="n">
        <v>24</v>
      </c>
      <c r="C46" s="184" t="s">
        <v>322</v>
      </c>
      <c r="D46" s="28" t="n">
        <f aca="false">הנחות!$B$52+(הנחות!$B$53-הנחות!$B$52)*1</f>
        <v>0.09</v>
      </c>
      <c r="E46" s="185" t="n">
        <f aca="false">(הנחות!$B$22/12)*D46/(הנחות!$B$51/(1-הנחות!$B$15)*(1+הנחות!$B$13))</f>
        <v>312907.431551499</v>
      </c>
      <c r="F46" s="25" t="n">
        <f aca="false">E46*הנחות!$B$51</f>
        <v>2033898.30508475</v>
      </c>
      <c r="G46" s="186" t="n">
        <f aca="false">F46*הנחות!$B$16</f>
        <v>366101.694915254</v>
      </c>
      <c r="H46" s="34" t="n">
        <f aca="false">F46-G46</f>
        <v>1667796.61016949</v>
      </c>
      <c r="I46" s="25" t="n">
        <f aca="false">H46-E46*הנחות!$B$9</f>
        <v>456844.850065189</v>
      </c>
      <c r="J46" s="28" t="n">
        <f aca="false">IFERROR(I46/F46,0)</f>
        <v>0.224615384615385</v>
      </c>
    </row>
    <row r="48" customFormat="false" ht="24" hidden="false" customHeight="true" outlineLevel="0" collapsed="false">
      <c r="A48" s="165" t="s">
        <v>328</v>
      </c>
      <c r="B48" s="165"/>
      <c r="C48" s="165"/>
      <c r="D48" s="165"/>
      <c r="E48" s="165"/>
      <c r="F48" s="165"/>
      <c r="G48" s="165"/>
      <c r="H48" s="165"/>
      <c r="I48" s="165"/>
      <c r="J48" s="165"/>
    </row>
    <row r="49" customFormat="false" ht="15" hidden="false" customHeight="false" outlineLevel="0" collapsed="false">
      <c r="A49" s="4" t="s">
        <v>303</v>
      </c>
      <c r="B49" s="6" t="s">
        <v>262</v>
      </c>
      <c r="C49" s="6" t="s">
        <v>20</v>
      </c>
      <c r="D49" s="6" t="s">
        <v>284</v>
      </c>
      <c r="E49" s="6" t="s">
        <v>21</v>
      </c>
      <c r="F49" s="6" t="s">
        <v>287</v>
      </c>
      <c r="G49" s="154" t="s">
        <v>304</v>
      </c>
      <c r="H49" s="154"/>
      <c r="I49" s="154"/>
      <c r="J49" s="154"/>
    </row>
    <row r="50" customFormat="false" ht="15" hidden="false" customHeight="false" outlineLevel="0" collapsed="false">
      <c r="A50" s="22" t="s">
        <v>329</v>
      </c>
      <c r="B50" s="86" t="s">
        <v>330</v>
      </c>
      <c r="C50" s="185" t="n">
        <f aca="false">SUM(E35:E37)</f>
        <v>677966.101694915</v>
      </c>
      <c r="D50" s="187" t="n">
        <f aca="false">SUM(F35:F37)</f>
        <v>4406779.66101695</v>
      </c>
      <c r="E50" s="25" t="n">
        <f aca="false">SUM(I35:I37)</f>
        <v>989830.508474576</v>
      </c>
      <c r="F50" s="28" t="n">
        <f aca="false">IFERROR(E50/D50,0)</f>
        <v>0.224615384615385</v>
      </c>
      <c r="G50" s="129"/>
      <c r="H50" s="129"/>
      <c r="I50" s="129"/>
      <c r="J50" s="129"/>
    </row>
    <row r="51" customFormat="false" ht="15" hidden="false" customHeight="false" outlineLevel="0" collapsed="false">
      <c r="A51" s="22" t="s">
        <v>331</v>
      </c>
      <c r="B51" s="86" t="s">
        <v>332</v>
      </c>
      <c r="C51" s="185" t="n">
        <f aca="false">SUM(E38:E40)</f>
        <v>756192.95958279</v>
      </c>
      <c r="D51" s="187" t="n">
        <f aca="false">SUM(F38:F40)</f>
        <v>4915254.23728814</v>
      </c>
      <c r="E51" s="25" t="n">
        <f aca="false">SUM(I38:I40)</f>
        <v>1104041.72099087</v>
      </c>
      <c r="F51" s="28" t="n">
        <f aca="false">IFERROR(E51/D51,0)</f>
        <v>0.224615384615385</v>
      </c>
      <c r="G51" s="129"/>
      <c r="H51" s="129"/>
      <c r="I51" s="129"/>
      <c r="J51" s="129"/>
    </row>
    <row r="52" customFormat="false" ht="15" hidden="false" customHeight="false" outlineLevel="0" collapsed="false">
      <c r="A52" s="22" t="s">
        <v>333</v>
      </c>
      <c r="B52" s="86" t="s">
        <v>334</v>
      </c>
      <c r="C52" s="185" t="n">
        <f aca="false">SUM(E41:E43)</f>
        <v>834419.817470665</v>
      </c>
      <c r="D52" s="187" t="n">
        <f aca="false">SUM(F41:F43)</f>
        <v>5423728.81355932</v>
      </c>
      <c r="E52" s="25" t="n">
        <f aca="false">SUM(I41:I43)</f>
        <v>1218252.93350717</v>
      </c>
      <c r="F52" s="28" t="n">
        <f aca="false">IFERROR(E52/D52,0)</f>
        <v>0.224615384615385</v>
      </c>
      <c r="G52" s="129"/>
      <c r="H52" s="129"/>
      <c r="I52" s="129"/>
      <c r="J52" s="129"/>
    </row>
    <row r="53" customFormat="false" ht="15" hidden="false" customHeight="false" outlineLevel="0" collapsed="false">
      <c r="A53" s="22" t="s">
        <v>335</v>
      </c>
      <c r="B53" s="86" t="s">
        <v>336</v>
      </c>
      <c r="C53" s="185" t="n">
        <f aca="false">SUM(E44:E46)</f>
        <v>912646.67535854</v>
      </c>
      <c r="D53" s="187" t="n">
        <f aca="false">SUM(F44:F46)</f>
        <v>5932203.38983051</v>
      </c>
      <c r="E53" s="25" t="n">
        <f aca="false">SUM(I44:I46)</f>
        <v>1332464.14602347</v>
      </c>
      <c r="F53" s="28" t="n">
        <f aca="false">IFERROR(E53/D53,0)</f>
        <v>0.224615384615385</v>
      </c>
      <c r="G53" s="129"/>
      <c r="H53" s="129"/>
      <c r="I53" s="129"/>
      <c r="J53" s="129"/>
    </row>
    <row r="56" customFormat="false" ht="27.75" hidden="false" customHeight="true" outlineLevel="0" collapsed="false">
      <c r="A56" s="167" t="s">
        <v>337</v>
      </c>
      <c r="B56" s="168"/>
      <c r="C56" s="168"/>
      <c r="D56" s="168"/>
      <c r="E56" s="169" t="n">
        <f aca="false">SUM(E35:E46)</f>
        <v>3181225.55410691</v>
      </c>
      <c r="F56" s="170" t="n">
        <f aca="false">SUM(F35:F46)</f>
        <v>20677966.1016949</v>
      </c>
      <c r="G56" s="171" t="n">
        <f aca="false">SUM(G35:G46)</f>
        <v>3722033.89830508</v>
      </c>
      <c r="H56" s="172" t="n">
        <f aca="false">SUM(H35:H46)</f>
        <v>16955932.2033898</v>
      </c>
      <c r="I56" s="170" t="n">
        <f aca="false">SUM(I35:I46)</f>
        <v>4644589.30899609</v>
      </c>
      <c r="J56" s="173" t="n">
        <f aca="false">IFERROR(I56/F56,0)</f>
        <v>0.224615384615385</v>
      </c>
    </row>
  </sheetData>
  <mergeCells count="21">
    <mergeCell ref="A1:J1"/>
    <mergeCell ref="A2:J2"/>
    <mergeCell ref="A4:J4"/>
    <mergeCell ref="E5:J5"/>
    <mergeCell ref="E6:J6"/>
    <mergeCell ref="E7:J7"/>
    <mergeCell ref="E8:J8"/>
    <mergeCell ref="A10:J10"/>
    <mergeCell ref="A24:J24"/>
    <mergeCell ref="G25:J25"/>
    <mergeCell ref="G26:J26"/>
    <mergeCell ref="G27:J27"/>
    <mergeCell ref="G28:J28"/>
    <mergeCell ref="G29:J29"/>
    <mergeCell ref="A33:J33"/>
    <mergeCell ref="A48:J48"/>
    <mergeCell ref="G49:J49"/>
    <mergeCell ref="G50:J50"/>
    <mergeCell ref="G51:J51"/>
    <mergeCell ref="G52:J52"/>
    <mergeCell ref="G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6" min="4" style="0" width="18"/>
  </cols>
  <sheetData>
    <row r="1" customFormat="false" ht="31.5" hidden="false" customHeight="true" outlineLevel="0" collapsed="false">
      <c r="A1" s="1" t="s">
        <v>346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347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348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218</v>
      </c>
      <c r="B5" s="6" t="s">
        <v>349</v>
      </c>
      <c r="C5" s="4" t="s">
        <v>350</v>
      </c>
      <c r="D5" s="130" t="s">
        <v>241</v>
      </c>
      <c r="E5" s="131" t="s">
        <v>242</v>
      </c>
      <c r="F5" s="132" t="s">
        <v>243</v>
      </c>
    </row>
    <row r="6" customFormat="false" ht="15" hidden="false" customHeight="false" outlineLevel="0" collapsed="false">
      <c r="A6" s="97" t="s">
        <v>19</v>
      </c>
      <c r="B6" s="100" t="s">
        <v>351</v>
      </c>
      <c r="C6" s="39" t="s">
        <v>352</v>
      </c>
      <c r="D6" s="188" t="n">
        <f aca="false">'תחזית 150 גרם'!F31</f>
        <v>17807909.6045198</v>
      </c>
      <c r="E6" s="189" t="n">
        <f aca="false">'תחזית 3x100 גרם'!F31</f>
        <v>7123163.84180791</v>
      </c>
      <c r="F6" s="190" t="n">
        <f aca="false">'תחזית 100 גרם'!F31</f>
        <v>10684745.7627119</v>
      </c>
    </row>
    <row r="7" customFormat="false" ht="15" hidden="false" customHeight="false" outlineLevel="0" collapsed="false">
      <c r="A7" s="122" t="s">
        <v>19</v>
      </c>
      <c r="B7" s="191" t="s">
        <v>353</v>
      </c>
      <c r="C7" s="43" t="s">
        <v>354</v>
      </c>
      <c r="D7" s="188" t="n">
        <f aca="false">'תחזית 150 גרם'!F56</f>
        <v>34463276.8361582</v>
      </c>
      <c r="E7" s="189" t="n">
        <f aca="false">'תחזית 3x100 גרם'!F56</f>
        <v>15254237.2881356</v>
      </c>
      <c r="F7" s="190" t="n">
        <f aca="false">'תחזית 100 גרם'!F56</f>
        <v>20677966.1016949</v>
      </c>
    </row>
    <row r="8" customFormat="false" ht="15" hidden="false" customHeight="false" outlineLevel="0" collapsed="false">
      <c r="A8" s="36" t="s">
        <v>355</v>
      </c>
      <c r="B8" s="100" t="s">
        <v>351</v>
      </c>
      <c r="C8" s="39" t="s">
        <v>356</v>
      </c>
      <c r="D8" s="30" t="n">
        <f aca="false">-'תחזית 150 גרם'!G31</f>
        <v>-3205423.72881356</v>
      </c>
      <c r="E8" s="32" t="n">
        <f aca="false">-'תחזית 3x100 גרם'!G31</f>
        <v>-1282169.49152542</v>
      </c>
      <c r="F8" s="34" t="n">
        <f aca="false">-'תחזית 100 גרם'!G31</f>
        <v>-1923254.23728814</v>
      </c>
    </row>
    <row r="9" customFormat="false" ht="15" hidden="false" customHeight="false" outlineLevel="0" collapsed="false">
      <c r="A9" s="40" t="s">
        <v>355</v>
      </c>
      <c r="B9" s="191" t="s">
        <v>353</v>
      </c>
      <c r="C9" s="43" t="s">
        <v>356</v>
      </c>
      <c r="D9" s="30" t="n">
        <f aca="false">-'תחזית 150 גרם'!G56</f>
        <v>-6203389.83050847</v>
      </c>
      <c r="E9" s="32" t="n">
        <f aca="false">-'תחזית 3x100 גרם'!G56</f>
        <v>-2745762.71186441</v>
      </c>
      <c r="F9" s="34" t="n">
        <f aca="false">-'תחזית 100 גרם'!G56</f>
        <v>-3722033.89830508</v>
      </c>
    </row>
    <row r="10" customFormat="false" ht="15" hidden="false" customHeight="false" outlineLevel="0" collapsed="false">
      <c r="A10" s="97" t="s">
        <v>251</v>
      </c>
      <c r="B10" s="100" t="s">
        <v>351</v>
      </c>
      <c r="C10" s="39" t="s">
        <v>227</v>
      </c>
      <c r="D10" s="192" t="n">
        <f aca="false">'תחזית 150 גרם'!H31</f>
        <v>14602485.8757062</v>
      </c>
      <c r="E10" s="193" t="n">
        <f aca="false">'תחזית 3x100 גרם'!H31</f>
        <v>5840994.35028249</v>
      </c>
      <c r="F10" s="194" t="n">
        <f aca="false">'תחזית 100 גרם'!H31</f>
        <v>8761491.52542373</v>
      </c>
    </row>
    <row r="11" customFormat="false" ht="15" hidden="false" customHeight="false" outlineLevel="0" collapsed="false">
      <c r="A11" s="97" t="s">
        <v>251</v>
      </c>
      <c r="B11" s="100" t="s">
        <v>353</v>
      </c>
      <c r="C11" s="39" t="s">
        <v>227</v>
      </c>
      <c r="D11" s="192" t="n">
        <f aca="false">'תחזית 150 גרם'!H56</f>
        <v>28259887.0056497</v>
      </c>
      <c r="E11" s="193" t="n">
        <f aca="false">'תחזית 3x100 גרם'!H56</f>
        <v>12508474.5762712</v>
      </c>
      <c r="F11" s="194" t="n">
        <f aca="false">'תחזית 100 גרם'!H56</f>
        <v>16955932.2033898</v>
      </c>
    </row>
    <row r="12" customFormat="false" ht="15" hidden="false" customHeight="false" outlineLevel="0" collapsed="false">
      <c r="A12" s="195" t="s">
        <v>357</v>
      </c>
      <c r="B12" s="100" t="s">
        <v>351</v>
      </c>
      <c r="C12" s="39" t="s">
        <v>358</v>
      </c>
      <c r="D12" s="30" t="n">
        <f aca="false">-'תחזית 150 גרם'!E31*הנחות!$B$7</f>
        <v>-11615159.01733</v>
      </c>
      <c r="E12" s="32" t="n">
        <f aca="false">-'תחזית 3x100 גרם'!E31*הנחות!$B$8</f>
        <v>-4241022.1642764</v>
      </c>
      <c r="F12" s="34" t="n">
        <f aca="false">-'תחזית 100 גרם'!E31*הנחות!$B$9</f>
        <v>-6361533.2464146</v>
      </c>
    </row>
    <row r="13" customFormat="false" ht="15" hidden="false" customHeight="false" outlineLevel="0" collapsed="false">
      <c r="A13" s="196" t="s">
        <v>357</v>
      </c>
      <c r="B13" s="191" t="s">
        <v>353</v>
      </c>
      <c r="C13" s="43" t="s">
        <v>358</v>
      </c>
      <c r="D13" s="30" t="n">
        <f aca="false">-'תחזית 150 גרם'!E56*הנחות!$B$7</f>
        <v>-22478575.5094268</v>
      </c>
      <c r="E13" s="32" t="n">
        <f aca="false">-'תחזית 3x100 גרם'!E56*הנחות!$B$8</f>
        <v>-9082138.20078227</v>
      </c>
      <c r="F13" s="34" t="n">
        <f aca="false">-'תחזית 100 גרם'!E56*הנחות!$B$9</f>
        <v>-12311342.8943937</v>
      </c>
    </row>
    <row r="14" customFormat="false" ht="15" hidden="false" customHeight="false" outlineLevel="0" collapsed="false">
      <c r="A14" s="97" t="s">
        <v>21</v>
      </c>
      <c r="B14" s="100" t="s">
        <v>351</v>
      </c>
      <c r="C14" s="39" t="s">
        <v>359</v>
      </c>
      <c r="D14" s="192" t="n">
        <f aca="false">'תחזית 150 גרם'!I31</f>
        <v>2987326.85837618</v>
      </c>
      <c r="E14" s="193" t="n">
        <f aca="false">'תחזית 3x100 גרם'!I31</f>
        <v>1599972.18600608</v>
      </c>
      <c r="F14" s="194" t="n">
        <f aca="false">'תחזית 100 גרם'!I31</f>
        <v>2399958.27900913</v>
      </c>
    </row>
    <row r="15" customFormat="false" ht="15" hidden="false" customHeight="false" outlineLevel="0" collapsed="false">
      <c r="A15" s="97" t="s">
        <v>21</v>
      </c>
      <c r="B15" s="100" t="s">
        <v>353</v>
      </c>
      <c r="C15" s="39" t="s">
        <v>359</v>
      </c>
      <c r="D15" s="192" t="n">
        <f aca="false">'תחזית 150 גרם'!I56</f>
        <v>5781311.49622295</v>
      </c>
      <c r="E15" s="193" t="n">
        <f aca="false">'תחזית 3x100 גרם'!I56</f>
        <v>3426336.37548892</v>
      </c>
      <c r="F15" s="194" t="n">
        <f aca="false">'תחזית 100 גרם'!I56</f>
        <v>4644589.30899609</v>
      </c>
    </row>
    <row r="16" customFormat="false" ht="15" hidden="false" customHeight="false" outlineLevel="0" collapsed="false">
      <c r="A16" s="195" t="s">
        <v>360</v>
      </c>
      <c r="B16" s="100" t="s">
        <v>351</v>
      </c>
      <c r="C16" s="39" t="s">
        <v>361</v>
      </c>
      <c r="D16" s="30" t="n">
        <f aca="false">-הנחות!$B$32*הנחות!$B$33*0.6</f>
        <v>-225000</v>
      </c>
      <c r="E16" s="32" t="n">
        <f aca="false">-הנחות!$B$32*הנחות!$B$33*0.6</f>
        <v>-225000</v>
      </c>
      <c r="F16" s="34" t="n">
        <f aca="false">-הנחות!$B$32*הנחות!$B$33*0.6</f>
        <v>-225000</v>
      </c>
    </row>
    <row r="17" customFormat="false" ht="15" hidden="false" customHeight="false" outlineLevel="0" collapsed="false">
      <c r="A17" s="133" t="s">
        <v>362</v>
      </c>
      <c r="B17" s="197" t="s">
        <v>351</v>
      </c>
      <c r="C17" s="134" t="s">
        <v>363</v>
      </c>
      <c r="D17" s="198" t="n">
        <f aca="false">D14+D16</f>
        <v>2762326.85837618</v>
      </c>
      <c r="E17" s="199" t="n">
        <f aca="false">E14+E16</f>
        <v>1374972.18600608</v>
      </c>
      <c r="F17" s="200" t="n">
        <f aca="false">F14+F16</f>
        <v>2174958.27900913</v>
      </c>
    </row>
    <row r="18" customFormat="false" ht="15" hidden="false" customHeight="false" outlineLevel="0" collapsed="false">
      <c r="A18" s="133" t="s">
        <v>362</v>
      </c>
      <c r="B18" s="197" t="s">
        <v>353</v>
      </c>
      <c r="C18" s="134" t="s">
        <v>364</v>
      </c>
      <c r="D18" s="198" t="n">
        <f aca="false">D15+-הנחות!$B$32*הנחות!$B$33*0.4</f>
        <v>5631311.49622295</v>
      </c>
      <c r="E18" s="199" t="n">
        <f aca="false">E15+-הנחות!$B$32*הנחות!$B$33*0.4</f>
        <v>3276336.37548892</v>
      </c>
      <c r="F18" s="200" t="n">
        <f aca="false">F15+-הנחות!$B$32*הנחות!$B$33*0.4</f>
        <v>4494589.30899609</v>
      </c>
    </row>
    <row r="19" customFormat="false" ht="15" hidden="false" customHeight="false" outlineLevel="0" collapsed="false">
      <c r="A19" s="201" t="s">
        <v>365</v>
      </c>
      <c r="B19" s="202" t="s">
        <v>366</v>
      </c>
      <c r="C19" s="203" t="s">
        <v>367</v>
      </c>
      <c r="D19" s="204" t="n">
        <f aca="false">D17+D18</f>
        <v>8393638.35459913</v>
      </c>
      <c r="E19" s="205" t="n">
        <f aca="false">E17+E18</f>
        <v>4651308.561495</v>
      </c>
      <c r="F19" s="206" t="n">
        <f aca="false">F17+F18</f>
        <v>6669547.58800521</v>
      </c>
    </row>
    <row r="21" customFormat="false" ht="24" hidden="false" customHeight="true" outlineLevel="0" collapsed="false">
      <c r="A21" s="3" t="s">
        <v>368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97" t="s">
        <v>369</v>
      </c>
      <c r="B22" s="100" t="s">
        <v>351</v>
      </c>
      <c r="C22" s="39" t="s">
        <v>370</v>
      </c>
      <c r="D22" s="207" t="n">
        <f aca="false">'תחזית 150 גרם'!J31</f>
        <v>0.167752808988764</v>
      </c>
      <c r="E22" s="208" t="n">
        <f aca="false">'תחזית 3x100 גרם'!J31</f>
        <v>0.224615384615385</v>
      </c>
      <c r="F22" s="209" t="n">
        <f aca="false">'תחזית 100 גרם'!J31</f>
        <v>0.224615384615385</v>
      </c>
    </row>
    <row r="23" customFormat="false" ht="15" hidden="false" customHeight="false" outlineLevel="0" collapsed="false">
      <c r="A23" s="122" t="s">
        <v>369</v>
      </c>
      <c r="B23" s="191" t="s">
        <v>353</v>
      </c>
      <c r="C23" s="43" t="s">
        <v>370</v>
      </c>
      <c r="D23" s="207" t="n">
        <f aca="false">'תחזית 150 גרם'!J56</f>
        <v>0.167752808988764</v>
      </c>
      <c r="E23" s="208" t="n">
        <f aca="false">'תחזית 3x100 גרם'!J56</f>
        <v>0.224615384615385</v>
      </c>
      <c r="F23" s="209" t="n">
        <f aca="false">'תחזית 100 גרם'!J56</f>
        <v>0.224615384615385</v>
      </c>
    </row>
    <row r="24" customFormat="false" ht="15" hidden="false" customHeight="false" outlineLevel="0" collapsed="false">
      <c r="A24" s="97" t="s">
        <v>371</v>
      </c>
      <c r="B24" s="100" t="s">
        <v>351</v>
      </c>
      <c r="C24" s="39" t="s">
        <v>372</v>
      </c>
      <c r="D24" s="210" t="n">
        <f aca="false">IFERROR(D17/D6,0)</f>
        <v>0.155117973963383</v>
      </c>
      <c r="E24" s="211" t="n">
        <f aca="false">IFERROR(E17/E6,0)</f>
        <v>0.193028297051933</v>
      </c>
      <c r="F24" s="212" t="n">
        <f aca="false">IFERROR(F17/F6,0)</f>
        <v>0.20355732623975</v>
      </c>
    </row>
    <row r="25" customFormat="false" ht="15" hidden="false" customHeight="false" outlineLevel="0" collapsed="false">
      <c r="A25" s="97" t="s">
        <v>373</v>
      </c>
      <c r="B25" s="100" t="s">
        <v>353</v>
      </c>
      <c r="C25" s="39" t="s">
        <v>372</v>
      </c>
      <c r="D25" s="210" t="n">
        <f aca="false">IFERROR(D18/D7,0)</f>
        <v>0.163400349972371</v>
      </c>
      <c r="E25" s="211" t="n">
        <f aca="false">IFERROR(E18/E7,0)</f>
        <v>0.214782051282051</v>
      </c>
      <c r="F25" s="212" t="n">
        <f aca="false">IFERROR(F18/F7,0)</f>
        <v>0.217361286254729</v>
      </c>
    </row>
    <row r="26" customFormat="false" ht="15" hidden="false" customHeight="false" outlineLevel="0" collapsed="false">
      <c r="A26" s="195" t="s">
        <v>374</v>
      </c>
      <c r="B26" s="100" t="s">
        <v>375</v>
      </c>
      <c r="C26" s="39" t="s">
        <v>376</v>
      </c>
      <c r="D26" s="213" t="n">
        <f aca="false">IFERROR(-D16/((D14+D15)/24),0)</f>
        <v>0.615831076801989</v>
      </c>
      <c r="E26" s="214" t="n">
        <f aca="false">IFERROR(-E16/((E14+E15)/24),0)</f>
        <v>1.07434709467853</v>
      </c>
      <c r="F26" s="215" t="n">
        <f aca="false">IFERROR(-F16/((F14+F15)/24),0)</f>
        <v>0.766550290496242</v>
      </c>
    </row>
    <row r="28" customFormat="false" ht="24" hidden="false" customHeight="true" outlineLevel="0" collapsed="false">
      <c r="A28" s="3" t="s">
        <v>377</v>
      </c>
      <c r="B28" s="3"/>
      <c r="C28" s="3"/>
      <c r="D28" s="3"/>
      <c r="E28" s="3"/>
      <c r="F28" s="3"/>
    </row>
    <row r="29" customFormat="false" ht="79.5" hidden="false" customHeight="true" outlineLevel="0" collapsed="false">
      <c r="A29" s="35" t="s">
        <v>378</v>
      </c>
      <c r="B29" s="35"/>
      <c r="C29" s="35"/>
      <c r="D29" s="35"/>
      <c r="E29" s="35"/>
      <c r="F29" s="35"/>
    </row>
  </sheetData>
  <mergeCells count="6">
    <mergeCell ref="A1:F1"/>
    <mergeCell ref="A2:F2"/>
    <mergeCell ref="A4:F4"/>
    <mergeCell ref="A21:F21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  <col collapsed="false" customWidth="true" hidden="false" outlineLevel="0" max="6" min="6" style="0" width="20"/>
  </cols>
  <sheetData>
    <row r="1" customFormat="false" ht="31.5" hidden="false" customHeight="true" outlineLevel="0" collapsed="false">
      <c r="A1" s="1" t="s">
        <v>379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380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381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240</v>
      </c>
      <c r="B5" s="154" t="s">
        <v>84</v>
      </c>
      <c r="C5" s="154"/>
      <c r="D5" s="130" t="s">
        <v>241</v>
      </c>
      <c r="E5" s="131" t="s">
        <v>242</v>
      </c>
      <c r="F5" s="132" t="s">
        <v>243</v>
      </c>
    </row>
    <row r="6" customFormat="false" ht="15" hidden="false" customHeight="false" outlineLevel="0" collapsed="false">
      <c r="A6" s="97" t="s">
        <v>17</v>
      </c>
      <c r="B6" s="126" t="s">
        <v>382</v>
      </c>
      <c r="C6" s="126"/>
      <c r="D6" s="216" t="n">
        <f aca="false">הנחות!$B$41</f>
        <v>8.9</v>
      </c>
      <c r="E6" s="217" t="n">
        <f aca="false">הנחות!$B$46</f>
        <v>19.5</v>
      </c>
      <c r="F6" s="218" t="n">
        <f aca="false">הנחות!$B$51</f>
        <v>6.5</v>
      </c>
    </row>
    <row r="7" customFormat="false" ht="15" hidden="false" customHeight="false" outlineLevel="0" collapsed="false">
      <c r="A7" s="40" t="s">
        <v>5</v>
      </c>
      <c r="B7" s="124" t="s">
        <v>383</v>
      </c>
      <c r="C7" s="124"/>
      <c r="D7" s="10" t="n">
        <f aca="false">הנחות!$B$7</f>
        <v>5.805</v>
      </c>
      <c r="E7" s="17" t="n">
        <f aca="false">הנחות!$B$8</f>
        <v>11.61</v>
      </c>
      <c r="F7" s="24" t="n">
        <f aca="false">הנחות!$B$9</f>
        <v>3.87</v>
      </c>
    </row>
    <row r="8" customFormat="false" ht="15" hidden="false" customHeight="false" outlineLevel="0" collapsed="false">
      <c r="A8" s="97" t="s">
        <v>384</v>
      </c>
      <c r="B8" s="126" t="s">
        <v>236</v>
      </c>
      <c r="C8" s="126"/>
      <c r="D8" s="216" t="n">
        <f aca="false">הנחות!$B$41/(1-הנחות!$B$15)*(1+הנחות!$B$13)</f>
        <v>13.1275</v>
      </c>
      <c r="E8" s="217" t="n">
        <f aca="false">הנחות!$B$46/(1-הנחות!$B$15)*(1+הנחות!$B$13)</f>
        <v>28.7625</v>
      </c>
      <c r="F8" s="218" t="n">
        <f aca="false">הנחות!$B$51/(1-הנחות!$B$15)*(1+הנחות!$B$13)</f>
        <v>9.5875</v>
      </c>
    </row>
    <row r="9" customFormat="false" ht="15" hidden="false" customHeight="false" outlineLevel="0" collapsed="false">
      <c r="A9" s="168" t="s">
        <v>385</v>
      </c>
      <c r="B9" s="219" t="s">
        <v>386</v>
      </c>
      <c r="C9" s="219"/>
      <c r="D9" s="10" t="n">
        <f aca="false">(הנחות!$B$41/(1-הנחות!$B$15)*(1+הנחות!$B$13))/1.5</f>
        <v>8.75166666666667</v>
      </c>
      <c r="E9" s="17" t="n">
        <f aca="false">(הנחות!$B$46/(1-הנחות!$B$15)*(1+הנחות!$B$13))/3</f>
        <v>9.5875</v>
      </c>
      <c r="F9" s="24" t="n">
        <f aca="false">הנחות!$B$51/(1-הנחות!$B$15)*(1+הנחות!$B$13)</f>
        <v>9.5875</v>
      </c>
    </row>
    <row r="10" customFormat="false" ht="15" hidden="false" customHeight="false" outlineLevel="0" collapsed="false">
      <c r="A10" s="97" t="s">
        <v>230</v>
      </c>
      <c r="B10" s="126" t="s">
        <v>359</v>
      </c>
      <c r="C10" s="126"/>
      <c r="D10" s="216" t="n">
        <f aca="false">הנחות!$B$41*(1-הנחות!$B$16)-הנחות!$B$7</f>
        <v>1.493</v>
      </c>
      <c r="E10" s="217" t="n">
        <f aca="false">הנחות!$B$46*(1-הנחות!$B$16)-הנחות!$B$8</f>
        <v>4.38</v>
      </c>
      <c r="F10" s="218" t="n">
        <f aca="false">הנחות!$B$51*(1-הנחות!$B$16)-הנחות!$B$9</f>
        <v>1.46</v>
      </c>
    </row>
    <row r="11" customFormat="false" ht="15" hidden="false" customHeight="false" outlineLevel="0" collapsed="false">
      <c r="A11" s="122" t="s">
        <v>387</v>
      </c>
      <c r="B11" s="124" t="s">
        <v>233</v>
      </c>
      <c r="C11" s="124"/>
      <c r="D11" s="207" t="n">
        <f aca="false">(הנחות!$B$41*(1-הנחות!$B$16)-הנחות!$B$7)/הנחות!$B$41</f>
        <v>0.167752808988764</v>
      </c>
      <c r="E11" s="208" t="n">
        <f aca="false">(הנחות!$B$46*(1-הנחות!$B$16)-הנחות!$B$8)/הנחות!$B$46</f>
        <v>0.224615384615385</v>
      </c>
      <c r="F11" s="209" t="n">
        <f aca="false">(הנחות!$B$51*(1-הנחות!$B$16)-הנחות!$B$9)/הנחות!$B$51</f>
        <v>0.224615384615385</v>
      </c>
    </row>
    <row r="13" customFormat="false" ht="24" hidden="false" customHeight="true" outlineLevel="0" collapsed="false">
      <c r="A13" s="3" t="s">
        <v>388</v>
      </c>
      <c r="B13" s="3"/>
      <c r="C13" s="3"/>
      <c r="D13" s="3"/>
      <c r="E13" s="3"/>
      <c r="F13" s="3"/>
    </row>
    <row r="14" customFormat="false" ht="27.75" hidden="false" customHeight="true" outlineLevel="0" collapsed="false">
      <c r="A14" s="4" t="s">
        <v>240</v>
      </c>
      <c r="B14" s="154" t="s">
        <v>84</v>
      </c>
      <c r="C14" s="154"/>
      <c r="D14" s="130" t="s">
        <v>241</v>
      </c>
      <c r="E14" s="131" t="s">
        <v>242</v>
      </c>
      <c r="F14" s="132" t="s">
        <v>243</v>
      </c>
    </row>
    <row r="15" customFormat="false" ht="15" hidden="false" customHeight="false" outlineLevel="0" collapsed="false">
      <c r="A15" s="40" t="s">
        <v>389</v>
      </c>
      <c r="B15" s="124" t="s">
        <v>390</v>
      </c>
      <c r="C15" s="124"/>
      <c r="D15" s="14" t="n">
        <f aca="false">הנחות!$B$43</f>
        <v>0.15</v>
      </c>
      <c r="E15" s="21" t="n">
        <f aca="false">הנחות!$B$48</f>
        <v>0.07</v>
      </c>
      <c r="F15" s="28" t="n">
        <f aca="false">הנחות!$B$53</f>
        <v>0.09</v>
      </c>
    </row>
    <row r="16" customFormat="false" ht="15" hidden="false" customHeight="false" outlineLevel="0" collapsed="false">
      <c r="A16" s="36" t="s">
        <v>391</v>
      </c>
      <c r="B16" s="126" t="s">
        <v>392</v>
      </c>
      <c r="C16" s="126"/>
      <c r="D16" s="14" t="n">
        <f aca="false">הנחות!$B$43</f>
        <v>0.15</v>
      </c>
      <c r="E16" s="21" t="n">
        <f aca="false">הנחות!$B$48</f>
        <v>0.07</v>
      </c>
      <c r="F16" s="28" t="n">
        <f aca="false">הנחות!$B$53</f>
        <v>0.09</v>
      </c>
    </row>
    <row r="17" customFormat="false" ht="15" hidden="false" customHeight="false" outlineLevel="0" collapsed="false">
      <c r="A17" s="122" t="s">
        <v>393</v>
      </c>
      <c r="B17" s="124" t="s">
        <v>394</v>
      </c>
      <c r="C17" s="124"/>
      <c r="D17" s="188" t="n">
        <f aca="false">'תחזית 150 גרם'!F31</f>
        <v>17807909.6045198</v>
      </c>
      <c r="E17" s="189" t="n">
        <f aca="false">'תחזית 3x100 גרם'!F31</f>
        <v>7123163.84180791</v>
      </c>
      <c r="F17" s="190" t="n">
        <f aca="false">'תחזית 100 גרם'!F31</f>
        <v>10684745.7627119</v>
      </c>
    </row>
    <row r="18" customFormat="false" ht="15" hidden="false" customHeight="false" outlineLevel="0" collapsed="false">
      <c r="A18" s="97" t="s">
        <v>395</v>
      </c>
      <c r="B18" s="126" t="s">
        <v>396</v>
      </c>
      <c r="C18" s="126"/>
      <c r="D18" s="188" t="n">
        <f aca="false">'תחזית 150 גרם'!F56</f>
        <v>34463276.8361582</v>
      </c>
      <c r="E18" s="189" t="n">
        <f aca="false">'תחזית 3x100 גרם'!F56</f>
        <v>15254237.2881356</v>
      </c>
      <c r="F18" s="190" t="n">
        <f aca="false">'תחזית 100 גרם'!F56</f>
        <v>20677966.1016949</v>
      </c>
    </row>
    <row r="19" customFormat="false" ht="15" hidden="false" customHeight="false" outlineLevel="0" collapsed="false">
      <c r="A19" s="40" t="s">
        <v>397</v>
      </c>
      <c r="B19" s="124" t="s">
        <v>398</v>
      </c>
      <c r="C19" s="124"/>
      <c r="D19" s="163" t="n">
        <f aca="false">'תחזית 150 גרם'!E31</f>
        <v>2000888.71960896</v>
      </c>
      <c r="E19" s="178" t="n">
        <f aca="false">'תחזית 3x100 גרם'!E31</f>
        <v>365290.453426047</v>
      </c>
      <c r="F19" s="185" t="n">
        <f aca="false">'תחזית 100 גרם'!E31</f>
        <v>1643807.04041721</v>
      </c>
    </row>
    <row r="20" customFormat="false" ht="15" hidden="false" customHeight="false" outlineLevel="0" collapsed="false">
      <c r="A20" s="36" t="s">
        <v>399</v>
      </c>
      <c r="B20" s="126" t="s">
        <v>398</v>
      </c>
      <c r="C20" s="126"/>
      <c r="D20" s="163" t="n">
        <f aca="false">'תחזית 150 גרם'!E56</f>
        <v>3872278.29619755</v>
      </c>
      <c r="E20" s="178" t="n">
        <f aca="false">'תחזית 3x100 גרם'!E56</f>
        <v>782268.578878748</v>
      </c>
      <c r="F20" s="185" t="n">
        <f aca="false">'תחזית 100 גרם'!E56</f>
        <v>3181225.55410691</v>
      </c>
    </row>
    <row r="21" customFormat="false" ht="15" hidden="false" customHeight="false" outlineLevel="0" collapsed="false">
      <c r="A21" s="122" t="s">
        <v>400</v>
      </c>
      <c r="B21" s="124" t="s">
        <v>398</v>
      </c>
      <c r="C21" s="124"/>
      <c r="D21" s="188" t="n">
        <f aca="false">'תחזית 150 גרם'!I31</f>
        <v>2987326.85837618</v>
      </c>
      <c r="E21" s="189" t="n">
        <f aca="false">'תחזית 3x100 גרם'!I31</f>
        <v>1599972.18600608</v>
      </c>
      <c r="F21" s="190" t="n">
        <f aca="false">'תחזית 100 גרם'!I31</f>
        <v>2399958.27900913</v>
      </c>
    </row>
    <row r="22" customFormat="false" ht="15" hidden="false" customHeight="false" outlineLevel="0" collapsed="false">
      <c r="A22" s="97" t="s">
        <v>401</v>
      </c>
      <c r="B22" s="126" t="s">
        <v>398</v>
      </c>
      <c r="C22" s="126"/>
      <c r="D22" s="188" t="n">
        <f aca="false">'תחזית 150 גרם'!I56</f>
        <v>5781311.49622295</v>
      </c>
      <c r="E22" s="189" t="n">
        <f aca="false">'תחזית 3x100 גרם'!I56</f>
        <v>3426336.37548892</v>
      </c>
      <c r="F22" s="190" t="n">
        <f aca="false">'תחזית 100 גרם'!I56</f>
        <v>4644589.30899609</v>
      </c>
    </row>
    <row r="24" customFormat="false" ht="24" hidden="false" customHeight="true" outlineLevel="0" collapsed="false">
      <c r="A24" s="3" t="s">
        <v>402</v>
      </c>
      <c r="B24" s="3"/>
      <c r="C24" s="3"/>
      <c r="D24" s="3"/>
      <c r="E24" s="3"/>
      <c r="F24" s="3"/>
    </row>
    <row r="25" customFormat="false" ht="27.75" hidden="false" customHeight="true" outlineLevel="0" collapsed="false">
      <c r="A25" s="4" t="s">
        <v>240</v>
      </c>
      <c r="B25" s="154" t="s">
        <v>84</v>
      </c>
      <c r="C25" s="154"/>
      <c r="D25" s="130" t="s">
        <v>241</v>
      </c>
      <c r="E25" s="131" t="s">
        <v>242</v>
      </c>
      <c r="F25" s="132" t="s">
        <v>243</v>
      </c>
    </row>
    <row r="26" customFormat="false" ht="15" hidden="false" customHeight="false" outlineLevel="0" collapsed="false">
      <c r="A26" s="97" t="s">
        <v>403</v>
      </c>
      <c r="B26" s="126" t="s">
        <v>404</v>
      </c>
      <c r="C26" s="126"/>
      <c r="D26" s="188" t="n">
        <f aca="false">'רווח והפסד'!D17</f>
        <v>2762326.85837618</v>
      </c>
      <c r="E26" s="189" t="n">
        <f aca="false">'רווח והפסד'!E17</f>
        <v>1374972.18600608</v>
      </c>
      <c r="F26" s="190" t="n">
        <f aca="false">'רווח והפסד'!F17</f>
        <v>2174958.27900913</v>
      </c>
    </row>
    <row r="27" customFormat="false" ht="15" hidden="false" customHeight="false" outlineLevel="0" collapsed="false">
      <c r="A27" s="122" t="s">
        <v>405</v>
      </c>
      <c r="B27" s="124" t="s">
        <v>406</v>
      </c>
      <c r="C27" s="124"/>
      <c r="D27" s="188" t="n">
        <f aca="false">'רווח והפסד'!D18</f>
        <v>5631311.49622295</v>
      </c>
      <c r="E27" s="189" t="n">
        <f aca="false">'רווח והפסד'!E18</f>
        <v>3276336.37548892</v>
      </c>
      <c r="F27" s="190" t="n">
        <f aca="false">'רווח והפסד'!F18</f>
        <v>4494589.30899609</v>
      </c>
    </row>
    <row r="28" customFormat="false" ht="15" hidden="false" customHeight="false" outlineLevel="0" collapsed="false">
      <c r="A28" s="201" t="s">
        <v>407</v>
      </c>
      <c r="B28" s="220" t="s">
        <v>408</v>
      </c>
      <c r="C28" s="220"/>
      <c r="D28" s="188" t="n">
        <f aca="false">'רווח והפסד'!D19</f>
        <v>8393638.35459913</v>
      </c>
      <c r="E28" s="189" t="n">
        <f aca="false">'רווח והפסד'!E19</f>
        <v>4651308.561495</v>
      </c>
      <c r="F28" s="190" t="n">
        <f aca="false">'רווח והפסד'!F19</f>
        <v>6669547.58800521</v>
      </c>
    </row>
    <row r="29" customFormat="false" ht="15" hidden="false" customHeight="false" outlineLevel="0" collapsed="false">
      <c r="A29" s="122" t="s">
        <v>409</v>
      </c>
      <c r="B29" s="124" t="s">
        <v>410</v>
      </c>
      <c r="C29" s="124"/>
      <c r="D29" s="207" t="n">
        <f aca="false">('תחזית 150 גרם'!F56-'תחזית 150 גרם'!F31)/'תחזית 150 גרם'!F31</f>
        <v>0.935279187817259</v>
      </c>
      <c r="E29" s="208" t="n">
        <f aca="false">('תחזית 3x100 גרם'!F56-'תחזית 3x100 גרם'!F31)/'תחזית 3x100 גרם'!F31</f>
        <v>1.14149746192893</v>
      </c>
      <c r="F29" s="209" t="n">
        <f aca="false">('תחזית 100 גרם'!F56-'תחזית 100 גרם'!F31)/'תחזית 100 גרם'!F31</f>
        <v>0.935279187817259</v>
      </c>
    </row>
    <row r="31" customFormat="false" ht="24" hidden="false" customHeight="true" outlineLevel="0" collapsed="false">
      <c r="A31" s="3" t="s">
        <v>411</v>
      </c>
      <c r="B31" s="3"/>
      <c r="C31" s="3"/>
      <c r="D31" s="3"/>
      <c r="E31" s="3"/>
      <c r="F31" s="3"/>
    </row>
    <row r="32" customFormat="false" ht="27.75" hidden="false" customHeight="true" outlineLevel="0" collapsed="false">
      <c r="A32" s="4" t="s">
        <v>16</v>
      </c>
      <c r="B32" s="221" t="s">
        <v>412</v>
      </c>
      <c r="C32" s="221"/>
      <c r="D32" s="221" t="s">
        <v>413</v>
      </c>
      <c r="E32" s="221"/>
      <c r="F32" s="6" t="s">
        <v>414</v>
      </c>
    </row>
    <row r="33" customFormat="false" ht="49.5" hidden="false" customHeight="true" outlineLevel="0" collapsed="false">
      <c r="A33" s="8" t="s">
        <v>241</v>
      </c>
      <c r="B33" s="222" t="s">
        <v>415</v>
      </c>
      <c r="C33" s="222"/>
      <c r="D33" s="223" t="s">
        <v>416</v>
      </c>
      <c r="E33" s="223"/>
      <c r="F33" s="130" t="s">
        <v>417</v>
      </c>
    </row>
    <row r="34" customFormat="false" ht="49.5" hidden="false" customHeight="true" outlineLevel="0" collapsed="false">
      <c r="A34" s="15" t="s">
        <v>242</v>
      </c>
      <c r="B34" s="224" t="s">
        <v>418</v>
      </c>
      <c r="C34" s="224"/>
      <c r="D34" s="225" t="s">
        <v>419</v>
      </c>
      <c r="E34" s="225"/>
      <c r="F34" s="131" t="s">
        <v>420</v>
      </c>
    </row>
    <row r="35" customFormat="false" ht="49.5" hidden="false" customHeight="true" outlineLevel="0" collapsed="false">
      <c r="A35" s="22" t="s">
        <v>243</v>
      </c>
      <c r="B35" s="226" t="s">
        <v>421</v>
      </c>
      <c r="C35" s="226"/>
      <c r="D35" s="227" t="s">
        <v>422</v>
      </c>
      <c r="E35" s="227"/>
      <c r="F35" s="132" t="s">
        <v>423</v>
      </c>
    </row>
  </sheetData>
  <mergeCells count="35">
    <mergeCell ref="A1:F1"/>
    <mergeCell ref="A2:F2"/>
    <mergeCell ref="A4:F4"/>
    <mergeCell ref="B5:C5"/>
    <mergeCell ref="B6:C6"/>
    <mergeCell ref="B7:C7"/>
    <mergeCell ref="B8:C8"/>
    <mergeCell ref="B9:C9"/>
    <mergeCell ref="B10:C10"/>
    <mergeCell ref="B11:C11"/>
    <mergeCell ref="A13:F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A24:F24"/>
    <mergeCell ref="B25:C25"/>
    <mergeCell ref="B26:C26"/>
    <mergeCell ref="B27:C27"/>
    <mergeCell ref="B28:C28"/>
    <mergeCell ref="B29:C29"/>
    <mergeCell ref="A31:F31"/>
    <mergeCell ref="B32:C32"/>
    <mergeCell ref="D32:E32"/>
    <mergeCell ref="B33:C33"/>
    <mergeCell ref="D33:E33"/>
    <mergeCell ref="B34:C34"/>
    <mergeCell ref="D34:E34"/>
    <mergeCell ref="B35:C35"/>
    <mergeCell ref="D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false"/>
  </sheetPr>
  <dimension ref="A1:G3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7" min="5" style="0" width="20"/>
  </cols>
  <sheetData>
    <row r="1" customFormat="false" ht="31.5" hidden="false" customHeight="true" outlineLevel="0" collapsed="false">
      <c r="A1" s="1" t="s">
        <v>424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425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3" t="s">
        <v>426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43</v>
      </c>
      <c r="B5" s="6" t="s">
        <v>44</v>
      </c>
      <c r="C5" s="154" t="s">
        <v>46</v>
      </c>
      <c r="D5" s="154"/>
      <c r="E5" s="154"/>
      <c r="F5" s="154"/>
      <c r="G5" s="154"/>
    </row>
    <row r="6" customFormat="false" ht="15" hidden="false" customHeight="false" outlineLevel="0" collapsed="false">
      <c r="A6" s="97" t="s">
        <v>427</v>
      </c>
      <c r="B6" s="228" t="n">
        <f aca="false">הנחות!$B$32</f>
        <v>750000</v>
      </c>
      <c r="C6" s="126" t="s">
        <v>428</v>
      </c>
      <c r="D6" s="126"/>
      <c r="E6" s="126"/>
      <c r="F6" s="126"/>
      <c r="G6" s="126"/>
    </row>
    <row r="7" customFormat="false" ht="15" hidden="false" customHeight="false" outlineLevel="0" collapsed="false">
      <c r="A7" s="122" t="s">
        <v>98</v>
      </c>
      <c r="B7" s="229" t="n">
        <f aca="false">הנחות!$B$32*הנחות!$B$33</f>
        <v>375000</v>
      </c>
      <c r="C7" s="124" t="s">
        <v>429</v>
      </c>
      <c r="D7" s="124"/>
      <c r="E7" s="124"/>
      <c r="F7" s="124"/>
      <c r="G7" s="124"/>
    </row>
    <row r="8" customFormat="false" ht="15" hidden="false" customHeight="false" outlineLevel="0" collapsed="false">
      <c r="A8" s="97" t="s">
        <v>100</v>
      </c>
      <c r="B8" s="228" t="n">
        <f aca="false">הנחות!$B$32*הנחות!$B$34</f>
        <v>375000</v>
      </c>
      <c r="C8" s="126" t="s">
        <v>430</v>
      </c>
      <c r="D8" s="126"/>
      <c r="E8" s="126"/>
      <c r="F8" s="126"/>
      <c r="G8" s="126"/>
    </row>
    <row r="9" customFormat="false" ht="15" hidden="false" customHeight="false" outlineLevel="0" collapsed="false">
      <c r="A9" s="122" t="s">
        <v>431</v>
      </c>
      <c r="B9" s="229" t="n">
        <f aca="false">הנחות!$B$32/24</f>
        <v>31250</v>
      </c>
      <c r="C9" s="124" t="s">
        <v>432</v>
      </c>
      <c r="D9" s="124"/>
      <c r="E9" s="124"/>
      <c r="F9" s="124"/>
      <c r="G9" s="124"/>
    </row>
    <row r="10" customFormat="false" ht="15" hidden="false" customHeight="false" outlineLevel="0" collapsed="false">
      <c r="A10" s="97" t="s">
        <v>433</v>
      </c>
      <c r="B10" s="228" t="n">
        <f aca="false">הנחות!$B$32*0.6</f>
        <v>450000</v>
      </c>
      <c r="C10" s="126" t="s">
        <v>434</v>
      </c>
      <c r="D10" s="126"/>
      <c r="E10" s="126"/>
      <c r="F10" s="126"/>
      <c r="G10" s="126"/>
    </row>
    <row r="11" customFormat="false" ht="15" hidden="false" customHeight="false" outlineLevel="0" collapsed="false">
      <c r="A11" s="122" t="s">
        <v>435</v>
      </c>
      <c r="B11" s="229" t="n">
        <f aca="false">הנחות!$B$32*0.4</f>
        <v>300000</v>
      </c>
      <c r="C11" s="124" t="s">
        <v>436</v>
      </c>
      <c r="D11" s="124"/>
      <c r="E11" s="124"/>
      <c r="F11" s="124"/>
      <c r="G11" s="124"/>
    </row>
    <row r="13" customFormat="false" ht="24" hidden="false" customHeight="true" outlineLevel="0" collapsed="false">
      <c r="A13" s="3" t="s">
        <v>437</v>
      </c>
      <c r="B13" s="3"/>
      <c r="C13" s="3"/>
      <c r="D13" s="3"/>
      <c r="E13" s="3"/>
      <c r="F13" s="3"/>
      <c r="G13" s="3"/>
    </row>
    <row r="14" customFormat="false" ht="31.5" hidden="false" customHeight="true" outlineLevel="0" collapsed="false">
      <c r="A14" s="4" t="s">
        <v>438</v>
      </c>
      <c r="B14" s="6" t="s">
        <v>439</v>
      </c>
      <c r="C14" s="7" t="s">
        <v>440</v>
      </c>
      <c r="D14" s="7" t="s">
        <v>441</v>
      </c>
      <c r="E14" s="154" t="s">
        <v>442</v>
      </c>
      <c r="F14" s="154"/>
      <c r="G14" s="154"/>
    </row>
    <row r="15" customFormat="false" ht="15" hidden="false" customHeight="false" outlineLevel="0" collapsed="false">
      <c r="A15" s="40" t="s">
        <v>443</v>
      </c>
      <c r="B15" s="45" t="n">
        <v>0.35</v>
      </c>
      <c r="C15" s="159" t="n">
        <f aca="false">הנחות!$B$32*B15</f>
        <v>262500</v>
      </c>
      <c r="D15" s="63" t="n">
        <f aca="false">C15/24</f>
        <v>10937.5</v>
      </c>
      <c r="E15" s="124" t="s">
        <v>444</v>
      </c>
      <c r="F15" s="124"/>
      <c r="G15" s="124"/>
    </row>
    <row r="16" customFormat="false" ht="15" hidden="false" customHeight="false" outlineLevel="0" collapsed="false">
      <c r="A16" s="36" t="s">
        <v>445</v>
      </c>
      <c r="B16" s="46" t="n">
        <v>0.2</v>
      </c>
      <c r="C16" s="230" t="n">
        <f aca="false">הנחות!$B$32*B16</f>
        <v>150000</v>
      </c>
      <c r="D16" s="64" t="n">
        <f aca="false">C16/24</f>
        <v>6250</v>
      </c>
      <c r="E16" s="126" t="s">
        <v>446</v>
      </c>
      <c r="F16" s="126"/>
      <c r="G16" s="126"/>
    </row>
    <row r="17" customFormat="false" ht="15" hidden="false" customHeight="false" outlineLevel="0" collapsed="false">
      <c r="A17" s="40" t="s">
        <v>447</v>
      </c>
      <c r="B17" s="45" t="n">
        <v>0.1</v>
      </c>
      <c r="C17" s="159" t="n">
        <f aca="false">הנחות!$B$32*B17</f>
        <v>75000</v>
      </c>
      <c r="D17" s="63" t="n">
        <f aca="false">C17/24</f>
        <v>3125</v>
      </c>
      <c r="E17" s="124" t="s">
        <v>448</v>
      </c>
      <c r="F17" s="124"/>
      <c r="G17" s="124"/>
    </row>
    <row r="18" customFormat="false" ht="15" hidden="false" customHeight="false" outlineLevel="0" collapsed="false">
      <c r="A18" s="36" t="s">
        <v>449</v>
      </c>
      <c r="B18" s="46" t="n">
        <v>0.15</v>
      </c>
      <c r="C18" s="230" t="n">
        <f aca="false">הנחות!$B$32*B18</f>
        <v>112500</v>
      </c>
      <c r="D18" s="64" t="n">
        <f aca="false">C18/24</f>
        <v>4687.5</v>
      </c>
      <c r="E18" s="126" t="s">
        <v>450</v>
      </c>
      <c r="F18" s="126"/>
      <c r="G18" s="126"/>
    </row>
    <row r="19" customFormat="false" ht="15" hidden="false" customHeight="false" outlineLevel="0" collapsed="false">
      <c r="A19" s="40" t="s">
        <v>451</v>
      </c>
      <c r="B19" s="45" t="n">
        <v>0.1</v>
      </c>
      <c r="C19" s="159" t="n">
        <f aca="false">הנחות!$B$32*B19</f>
        <v>75000</v>
      </c>
      <c r="D19" s="63" t="n">
        <f aca="false">C19/24</f>
        <v>3125</v>
      </c>
      <c r="E19" s="124" t="s">
        <v>452</v>
      </c>
      <c r="F19" s="124"/>
      <c r="G19" s="124"/>
    </row>
    <row r="20" customFormat="false" ht="15" hidden="false" customHeight="false" outlineLevel="0" collapsed="false">
      <c r="A20" s="36" t="s">
        <v>453</v>
      </c>
      <c r="B20" s="46" t="n">
        <v>0.07</v>
      </c>
      <c r="C20" s="230" t="n">
        <f aca="false">הנחות!$B$32*B20</f>
        <v>52500</v>
      </c>
      <c r="D20" s="64" t="n">
        <f aca="false">C20/24</f>
        <v>2187.5</v>
      </c>
      <c r="E20" s="126" t="s">
        <v>454</v>
      </c>
      <c r="F20" s="126"/>
      <c r="G20" s="126"/>
    </row>
    <row r="21" customFormat="false" ht="15" hidden="false" customHeight="false" outlineLevel="0" collapsed="false">
      <c r="A21" s="40" t="s">
        <v>455</v>
      </c>
      <c r="B21" s="45" t="n">
        <v>0.03</v>
      </c>
      <c r="C21" s="159" t="n">
        <f aca="false">הנחות!$B$32*B21</f>
        <v>22500</v>
      </c>
      <c r="D21" s="63" t="n">
        <f aca="false">C21/24</f>
        <v>937.5</v>
      </c>
      <c r="E21" s="124" t="s">
        <v>456</v>
      </c>
      <c r="F21" s="124"/>
      <c r="G21" s="124"/>
    </row>
    <row r="22" customFormat="false" ht="15" hidden="false" customHeight="false" outlineLevel="0" collapsed="false">
      <c r="A22" s="231" t="s">
        <v>457</v>
      </c>
      <c r="B22" s="232" t="n">
        <f aca="false">SUM(B15:B21)</f>
        <v>1</v>
      </c>
      <c r="C22" s="233" t="n">
        <f aca="false">SUM(C15:C21)</f>
        <v>750000</v>
      </c>
      <c r="D22" s="234" t="n">
        <f aca="false">SUM(D15:D21)</f>
        <v>31250</v>
      </c>
      <c r="E22" s="220" t="s">
        <v>458</v>
      </c>
      <c r="F22" s="220"/>
      <c r="G22" s="220"/>
    </row>
    <row r="24" customFormat="false" ht="24" hidden="false" customHeight="true" outlineLevel="0" collapsed="false">
      <c r="A24" s="3" t="s">
        <v>459</v>
      </c>
      <c r="B24" s="3"/>
      <c r="C24" s="3"/>
      <c r="D24" s="3"/>
      <c r="E24" s="3"/>
      <c r="F24" s="3"/>
      <c r="G24" s="3"/>
    </row>
    <row r="25" customFormat="false" ht="27.75" hidden="false" customHeight="true" outlineLevel="0" collapsed="false">
      <c r="A25" s="4" t="s">
        <v>460</v>
      </c>
      <c r="B25" s="6" t="s">
        <v>262</v>
      </c>
      <c r="C25" s="7" t="s">
        <v>461</v>
      </c>
      <c r="D25" s="6" t="s">
        <v>96</v>
      </c>
      <c r="E25" s="154" t="s">
        <v>462</v>
      </c>
      <c r="F25" s="154"/>
      <c r="G25" s="154"/>
    </row>
    <row r="26" customFormat="false" ht="31.5" hidden="false" customHeight="true" outlineLevel="0" collapsed="false">
      <c r="A26" s="8" t="s">
        <v>463</v>
      </c>
      <c r="B26" s="235" t="s">
        <v>266</v>
      </c>
      <c r="C26" s="70" t="n">
        <v>0.4</v>
      </c>
      <c r="D26" s="11" t="n">
        <f aca="false">הנחות!$B$32*C26</f>
        <v>300000</v>
      </c>
      <c r="E26" s="65" t="s">
        <v>464</v>
      </c>
      <c r="F26" s="65"/>
      <c r="G26" s="65"/>
    </row>
    <row r="27" customFormat="false" ht="31.5" hidden="false" customHeight="true" outlineLevel="0" collapsed="false">
      <c r="A27" s="15" t="s">
        <v>465</v>
      </c>
      <c r="B27" s="236" t="s">
        <v>271</v>
      </c>
      <c r="C27" s="76" t="n">
        <v>0.4</v>
      </c>
      <c r="D27" s="18" t="n">
        <f aca="false">הנחות!$B$32*C27</f>
        <v>300000</v>
      </c>
      <c r="E27" s="71" t="s">
        <v>466</v>
      </c>
      <c r="F27" s="71"/>
      <c r="G27" s="71"/>
    </row>
    <row r="28" customFormat="false" ht="31.5" hidden="false" customHeight="true" outlineLevel="0" collapsed="false">
      <c r="A28" s="22" t="s">
        <v>467</v>
      </c>
      <c r="B28" s="237" t="s">
        <v>276</v>
      </c>
      <c r="C28" s="82" t="n">
        <v>0.2</v>
      </c>
      <c r="D28" s="25" t="n">
        <f aca="false">הנחות!$B$32*C28</f>
        <v>150000</v>
      </c>
      <c r="E28" s="77" t="s">
        <v>468</v>
      </c>
      <c r="F28" s="77"/>
      <c r="G28" s="77"/>
    </row>
    <row r="30" customFormat="false" ht="24" hidden="false" customHeight="true" outlineLevel="0" collapsed="false">
      <c r="A30" s="3" t="s">
        <v>469</v>
      </c>
      <c r="B30" s="3"/>
      <c r="C30" s="3"/>
      <c r="D30" s="3"/>
      <c r="E30" s="3"/>
      <c r="F30" s="3"/>
      <c r="G30" s="3"/>
    </row>
    <row r="31" customFormat="false" ht="15" hidden="false" customHeight="false" outlineLevel="0" collapsed="false">
      <c r="A31" s="122" t="s">
        <v>470</v>
      </c>
      <c r="B31" s="124" t="s">
        <v>471</v>
      </c>
      <c r="C31" s="124"/>
      <c r="D31" s="238" t="s">
        <v>472</v>
      </c>
      <c r="E31" s="238"/>
      <c r="F31" s="238"/>
      <c r="G31" s="238"/>
    </row>
    <row r="32" customFormat="false" ht="15" hidden="false" customHeight="false" outlineLevel="0" collapsed="false">
      <c r="A32" s="97" t="s">
        <v>473</v>
      </c>
      <c r="B32" s="126" t="s">
        <v>474</v>
      </c>
      <c r="C32" s="126"/>
      <c r="D32" s="239" t="s">
        <v>475</v>
      </c>
      <c r="E32" s="239"/>
      <c r="F32" s="239"/>
      <c r="G32" s="239"/>
    </row>
    <row r="33" customFormat="false" ht="15" hidden="false" customHeight="false" outlineLevel="0" collapsed="false">
      <c r="A33" s="122" t="s">
        <v>476</v>
      </c>
      <c r="B33" s="124" t="s">
        <v>477</v>
      </c>
      <c r="C33" s="124"/>
      <c r="D33" s="238" t="s">
        <v>478</v>
      </c>
      <c r="E33" s="238"/>
      <c r="F33" s="238"/>
      <c r="G33" s="238"/>
    </row>
    <row r="34" customFormat="false" ht="12.65" hidden="false" customHeight="false" outlineLevel="0" collapsed="false">
      <c r="A34" s="97" t="s">
        <v>479</v>
      </c>
      <c r="B34" s="126" t="s">
        <v>480</v>
      </c>
      <c r="C34" s="126"/>
      <c r="D34" s="239" t="s">
        <v>481</v>
      </c>
      <c r="E34" s="239"/>
      <c r="F34" s="239"/>
      <c r="G34" s="239"/>
    </row>
    <row r="35" customFormat="false" ht="15" hidden="false" customHeight="false" outlineLevel="0" collapsed="false">
      <c r="A35" s="122" t="s">
        <v>482</v>
      </c>
      <c r="B35" s="124" t="s">
        <v>483</v>
      </c>
      <c r="C35" s="124"/>
      <c r="D35" s="238" t="s">
        <v>484</v>
      </c>
      <c r="E35" s="238"/>
      <c r="F35" s="238"/>
      <c r="G35" s="238"/>
    </row>
    <row r="36" customFormat="false" ht="15" hidden="false" customHeight="false" outlineLevel="0" collapsed="false">
      <c r="A36" s="97" t="s">
        <v>485</v>
      </c>
      <c r="B36" s="126" t="s">
        <v>486</v>
      </c>
      <c r="C36" s="126"/>
      <c r="D36" s="239" t="s">
        <v>487</v>
      </c>
      <c r="E36" s="239"/>
      <c r="F36" s="239"/>
      <c r="G36" s="239"/>
    </row>
  </sheetData>
  <mergeCells count="38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C11:G11"/>
    <mergeCell ref="A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A24:G24"/>
    <mergeCell ref="E25:G25"/>
    <mergeCell ref="E26:G26"/>
    <mergeCell ref="E27:G27"/>
    <mergeCell ref="E28:G28"/>
    <mergeCell ref="A30:G30"/>
    <mergeCell ref="B31:C31"/>
    <mergeCell ref="D31:G31"/>
    <mergeCell ref="B32:C32"/>
    <mergeCell ref="D32:G32"/>
    <mergeCell ref="B33:C33"/>
    <mergeCell ref="D33:G33"/>
    <mergeCell ref="B34:C34"/>
    <mergeCell ref="D34:G34"/>
    <mergeCell ref="B35:C35"/>
    <mergeCell ref="D35:G35"/>
    <mergeCell ref="B36:C36"/>
    <mergeCell ref="D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2026-04-16T08:22:36Z</dcterms:created>
  <dc:creator>openpyxl</dc:creator>
  <dc:description/>
  <dc:language>en-US</dc:language>
  <cp:lastModifiedBy/>
  <dcterms:modified xsi:type="dcterms:W3CDTF">2026-04-16T08:22:36Z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