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ales Forecast" sheetId="2" state="visible" r:id="rId2"/>
    <sheet xmlns:r="http://schemas.openxmlformats.org/officeDocument/2006/relationships" name="Royalty Revenue" sheetId="3" state="visible" r:id="rId3"/>
    <sheet xmlns:r="http://schemas.openxmlformats.org/officeDocument/2006/relationships" name="SKU Roadmap" sheetId="4" state="visible" r:id="rId4"/>
    <sheet xmlns:r="http://schemas.openxmlformats.org/officeDocument/2006/relationships" name="Strategic Analysis" sheetId="5" state="visible" r:id="rId5"/>
    <sheet xmlns:r="http://schemas.openxmlformats.org/officeDocument/2006/relationships" name="Executiv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₪#,##0"/>
    <numFmt numFmtId="165" formatCode="0.0%"/>
    <numFmt numFmtId="166" formatCode="₪#,##0.0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0D1F3C"/>
      <sz val="9"/>
    </font>
    <font>
      <name val="Arial"/>
      <b val="1"/>
      <color rgb="00000000"/>
      <sz val="10"/>
    </font>
    <font>
      <name val="Arial"/>
      <i val="1"/>
      <color rgb="00888888"/>
      <sz val="10"/>
    </font>
    <font>
      <name val="Arial"/>
      <color rgb="00000000"/>
      <sz val="10"/>
    </font>
    <font>
      <name val="Arial"/>
      <color rgb="00888888"/>
      <sz val="10"/>
    </font>
    <font>
      <name val="Arial"/>
      <color rgb="000000FF"/>
      <sz val="10"/>
    </font>
    <font>
      <name val="Arial"/>
      <b val="1"/>
      <color rgb="000D1F3C"/>
      <sz val="10"/>
    </font>
    <font>
      <name val="Arial"/>
      <b val="1"/>
      <color rgb="00FF9500"/>
      <sz val="10"/>
    </font>
    <font>
      <name val="Arial"/>
      <sz val="10"/>
    </font>
    <font>
      <name val="Arial"/>
      <b val="1"/>
      <sz val="10"/>
    </font>
    <font>
      <name val="Arial"/>
      <i val="1"/>
      <color rgb="000D1F3C"/>
      <sz val="10"/>
    </font>
    <font>
      <name val="Arial"/>
      <i val="1"/>
      <color rgb="00888888"/>
      <sz val="9"/>
    </font>
    <font>
      <name val="Arial"/>
      <color rgb="00000000"/>
      <sz val="9"/>
    </font>
    <font>
      <name val="Arial"/>
      <b val="1"/>
      <color rgb="0000A86B"/>
      <sz val="10"/>
    </font>
    <font>
      <name val="Arial"/>
      <color rgb="00888888"/>
      <sz val="9"/>
    </font>
    <font>
      <name val="Arial"/>
      <color rgb="00FFFFFF"/>
      <sz val="10"/>
    </font>
    <font>
      <name val="Arial"/>
      <i val="1"/>
      <color rgb="00FFFFFF"/>
      <sz val="10"/>
    </font>
    <font>
      <name val="Arial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1A3A52"/>
      </patternFill>
    </fill>
    <fill>
      <patternFill patternType="solid">
        <fgColor rgb="00D6E8F5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00A86B"/>
      </patternFill>
    </fill>
    <fill>
      <patternFill patternType="solid">
        <fgColor rgb="00E2F5E8"/>
      </patternFill>
    </fill>
    <fill>
      <patternFill patternType="solid">
        <fgColor rgb="00FF9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right" vertical="center"/>
    </xf>
    <xf numFmtId="0" fontId="8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left" vertical="center"/>
    </xf>
    <xf numFmtId="164" fontId="9" fillId="5" borderId="0" applyAlignment="1" pivotButton="0" quotePrefix="0" xfId="0">
      <alignment horizontal="right" vertical="center"/>
    </xf>
    <xf numFmtId="0" fontId="10" fillId="6" borderId="0" applyAlignment="1" pivotButton="0" quotePrefix="0" xfId="0">
      <alignment horizontal="left" vertical="center"/>
    </xf>
    <xf numFmtId="164" fontId="9" fillId="6" borderId="0" applyAlignment="1" pivotButton="0" quotePrefix="0" xfId="0">
      <alignment horizontal="right" vertical="center"/>
    </xf>
    <xf numFmtId="0" fontId="3" fillId="7" borderId="0" applyAlignment="1" pivotButton="0" quotePrefix="0" xfId="0">
      <alignment horizontal="left" vertical="center"/>
    </xf>
    <xf numFmtId="165" fontId="9" fillId="7" borderId="0" applyAlignment="1" pivotButton="0" quotePrefix="0" xfId="0">
      <alignment horizontal="right" vertical="center"/>
    </xf>
    <xf numFmtId="0" fontId="8" fillId="7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left" vertical="center"/>
    </xf>
    <xf numFmtId="3" fontId="9" fillId="8" borderId="0" applyAlignment="1" pivotButton="0" quotePrefix="0" xfId="0">
      <alignment horizontal="right" vertical="center"/>
    </xf>
    <xf numFmtId="3" fontId="5" fillId="8" borderId="0" applyAlignment="1" pivotButton="0" quotePrefix="0" xfId="0">
      <alignment horizontal="center" vertical="center"/>
    </xf>
    <xf numFmtId="3" fontId="9" fillId="6" borderId="0" applyAlignment="1" pivotButton="0" quotePrefix="0" xfId="0">
      <alignment horizontal="right" vertical="center"/>
    </xf>
    <xf numFmtId="3" fontId="5" fillId="6" borderId="0" applyAlignment="1" pivotButton="0" quotePrefix="0" xfId="0">
      <alignment horizontal="center" vertical="center"/>
    </xf>
    <xf numFmtId="3" fontId="9" fillId="5" borderId="0" applyAlignment="1" pivotButton="0" quotePrefix="0" xfId="0">
      <alignment horizontal="right" vertical="center"/>
    </xf>
    <xf numFmtId="3" fontId="5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3" fontId="3" fillId="7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left" vertical="center"/>
    </xf>
    <xf numFmtId="3" fontId="3" fillId="9" borderId="0" applyAlignment="1" pivotButton="0" quotePrefix="0" xfId="0">
      <alignment horizontal="center" vertical="center"/>
    </xf>
    <xf numFmtId="3" fontId="12" fillId="5" borderId="0" applyAlignment="1" pivotButton="0" quotePrefix="0" xfId="0">
      <alignment horizontal="right" vertical="center"/>
    </xf>
    <xf numFmtId="3" fontId="13" fillId="5" borderId="0" applyAlignment="1" pivotButton="0" quotePrefix="0" xfId="0">
      <alignment horizontal="right" vertical="center"/>
    </xf>
    <xf numFmtId="3" fontId="12" fillId="6" borderId="0" applyAlignment="1" pivotButton="0" quotePrefix="0" xfId="0">
      <alignment horizontal="right" vertical="center"/>
    </xf>
    <xf numFmtId="3" fontId="13" fillId="6" borderId="0" applyAlignment="1" pivotButton="0" quotePrefix="0" xfId="0">
      <alignment horizontal="right" vertical="center"/>
    </xf>
    <xf numFmtId="3" fontId="3" fillId="7" borderId="0" applyAlignment="1" pivotButton="0" quotePrefix="0" xfId="0">
      <alignment horizontal="right" vertical="center"/>
    </xf>
    <xf numFmtId="3" fontId="3" fillId="9" borderId="0" applyAlignment="1" pivotButton="0" quotePrefix="0" xfId="0">
      <alignment horizontal="right" vertical="center"/>
    </xf>
    <xf numFmtId="164" fontId="12" fillId="5" borderId="0" applyAlignment="1" pivotButton="0" quotePrefix="0" xfId="0">
      <alignment horizontal="right" vertical="center"/>
    </xf>
    <xf numFmtId="164" fontId="13" fillId="5" borderId="0" applyAlignment="1" pivotButton="0" quotePrefix="0" xfId="0">
      <alignment horizontal="right" vertical="center"/>
    </xf>
    <xf numFmtId="3" fontId="12" fillId="5" borderId="0" applyAlignment="1" pivotButton="0" quotePrefix="0" xfId="0">
      <alignment horizontal="center" vertical="center"/>
    </xf>
    <xf numFmtId="164" fontId="12" fillId="6" borderId="0" applyAlignment="1" pivotButton="0" quotePrefix="0" xfId="0">
      <alignment horizontal="right" vertical="center"/>
    </xf>
    <xf numFmtId="164" fontId="13" fillId="6" borderId="0" applyAlignment="1" pivotButton="0" quotePrefix="0" xfId="0">
      <alignment horizontal="right" vertical="center"/>
    </xf>
    <xf numFmtId="3" fontId="12" fillId="6" borderId="0" applyAlignment="1" pivotButton="0" quotePrefix="0" xfId="0">
      <alignment horizontal="center" vertical="center"/>
    </xf>
    <xf numFmtId="164" fontId="3" fillId="7" borderId="0" applyAlignment="1" pivotButton="0" quotePrefix="0" xfId="0">
      <alignment horizontal="right" vertical="center"/>
    </xf>
    <xf numFmtId="164" fontId="3" fillId="9" borderId="0" applyAlignment="1" pivotButton="0" quotePrefix="0" xfId="0">
      <alignment horizontal="right" vertical="center"/>
    </xf>
    <xf numFmtId="0" fontId="10" fillId="8" borderId="0" applyAlignment="1" pivotButton="0" quotePrefix="0" xfId="0">
      <alignment horizontal="center" vertical="center"/>
    </xf>
    <xf numFmtId="3" fontId="7" fillId="8" borderId="0" applyAlignment="1" pivotButton="0" quotePrefix="0" xfId="0">
      <alignment horizontal="center" vertical="center"/>
    </xf>
    <xf numFmtId="3" fontId="5" fillId="8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left" vertical="center"/>
    </xf>
    <xf numFmtId="0" fontId="15" fillId="8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center" vertical="center"/>
    </xf>
    <xf numFmtId="3" fontId="7" fillId="5" borderId="0" applyAlignment="1" pivotButton="0" quotePrefix="0" xfId="0">
      <alignment horizontal="center" vertical="center"/>
    </xf>
    <xf numFmtId="3" fontId="5" fillId="5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left" vertical="center"/>
    </xf>
    <xf numFmtId="0" fontId="15" fillId="5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center" vertical="center"/>
    </xf>
    <xf numFmtId="3" fontId="7" fillId="6" borderId="0" applyAlignment="1" pivotButton="0" quotePrefix="0" xfId="0">
      <alignment horizontal="center" vertical="center"/>
    </xf>
    <xf numFmtId="3" fontId="5" fillId="6" borderId="0" applyAlignment="1" pivotButton="0" quotePrefix="0" xfId="0">
      <alignment horizontal="center" vertical="center"/>
    </xf>
    <xf numFmtId="0" fontId="14" fillId="6" borderId="0" applyAlignment="1" pivotButton="0" quotePrefix="0" xfId="0">
      <alignment horizontal="left" vertical="center"/>
    </xf>
    <xf numFmtId="0" fontId="15" fillId="6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left" vertical="center"/>
    </xf>
    <xf numFmtId="166" fontId="13" fillId="5" borderId="0" applyAlignment="1" pivotButton="0" quotePrefix="0" xfId="0">
      <alignment horizontal="right" vertical="center"/>
    </xf>
    <xf numFmtId="166" fontId="13" fillId="6" borderId="0" applyAlignment="1" pivotButton="0" quotePrefix="0" xfId="0">
      <alignment horizontal="right" vertical="center"/>
    </xf>
    <xf numFmtId="0" fontId="10" fillId="5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1" fillId="5" borderId="0" applyAlignment="1" pivotButton="0" quotePrefix="0" xfId="0">
      <alignment horizontal="left" vertical="center" wrapText="1"/>
    </xf>
    <xf numFmtId="0" fontId="16" fillId="5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6" fillId="6" borderId="0" applyAlignment="1" pivotButton="0" quotePrefix="0" xfId="0">
      <alignment horizontal="left" vertical="center" wrapText="1"/>
    </xf>
    <xf numFmtId="0" fontId="17" fillId="5" borderId="0" applyAlignment="1" pivotButton="0" quotePrefix="0" xfId="0">
      <alignment horizontal="left" vertical="center" wrapText="1"/>
    </xf>
    <xf numFmtId="0" fontId="17" fillId="6" borderId="0" applyAlignment="1" pivotButton="0" quotePrefix="0" xfId="0">
      <alignment horizontal="left" vertical="center" wrapText="1"/>
    </xf>
    <xf numFmtId="0" fontId="18" fillId="5" borderId="0" applyAlignment="1" pivotButton="0" quotePrefix="0" xfId="0">
      <alignment horizontal="left" vertical="center" wrapText="1"/>
    </xf>
    <xf numFmtId="0" fontId="18" fillId="6" borderId="0" applyAlignment="1" pivotButton="0" quotePrefix="0" xfId="0">
      <alignment horizontal="left" vertical="center" wrapText="1"/>
    </xf>
    <xf numFmtId="0" fontId="19" fillId="7" borderId="0" applyAlignment="1" pivotButton="0" quotePrefix="0" xfId="0">
      <alignment horizontal="center" vertical="center"/>
    </xf>
    <xf numFmtId="0" fontId="20" fillId="7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1F3C"/>
    <outlinePr summaryBelow="1" summaryRight="1"/>
    <pageSetUpPr/>
  </sheetPr>
  <dimension ref="A1:E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48" customWidth="1" min="5" max="5"/>
  </cols>
  <sheetData>
    <row r="1" ht="28" customHeight="1">
      <c r="A1" s="1" t="inlineStr">
        <is>
          <t>TURBO x SUPER-PHARM — MODEL ASSUMPTIONS  (formula-driven)</t>
        </is>
      </c>
    </row>
    <row r="2">
      <c r="A2" s="2" t="inlineStr">
        <is>
          <t>Blue cells = inputs  |  Black cells = calculated  |  All other sheets update automatically when you change inputs here</t>
        </is>
      </c>
    </row>
    <row r="4">
      <c r="A4" s="3" t="inlineStr">
        <is>
          <t>A. PRODUCT PORTFOLIO</t>
        </is>
      </c>
    </row>
    <row r="5">
      <c r="A5" s="4" t="inlineStr">
        <is>
          <t>Product</t>
        </is>
      </c>
      <c r="B5" s="5" t="inlineStr">
        <is>
          <t>Spec</t>
        </is>
      </c>
      <c r="C5" s="5" t="inlineStr">
        <is>
          <t>Value</t>
        </is>
      </c>
      <c r="D5" s="5" t="inlineStr">
        <is>
          <t>Unit</t>
        </is>
      </c>
      <c r="E5" s="5" t="inlineStr">
        <is>
          <t>Notes</t>
        </is>
      </c>
    </row>
    <row r="6">
      <c r="A6" s="6" t="inlineStr">
        <is>
          <t>Protein Powder</t>
        </is>
      </c>
      <c r="B6" s="7" t="inlineStr">
        <is>
          <t>Protein per serving</t>
        </is>
      </c>
      <c r="C6" s="8" t="inlineStr">
        <is>
          <t>24</t>
        </is>
      </c>
      <c r="D6" s="9" t="inlineStr">
        <is>
          <t>g</t>
        </is>
      </c>
      <c r="E6" s="7" t="inlineStr">
        <is>
          <t>Daily performance anchor</t>
        </is>
      </c>
    </row>
    <row r="7">
      <c r="A7" s="10" t="inlineStr"/>
      <c r="B7" s="11" t="inlineStr">
        <is>
          <t>Creatine content</t>
        </is>
      </c>
      <c r="C7" s="12" t="inlineStr">
        <is>
          <t>1.5</t>
        </is>
      </c>
      <c r="D7" s="13" t="inlineStr">
        <is>
          <t>g</t>
        </is>
      </c>
      <c r="E7" s="11" t="inlineStr">
        <is>
          <t>Performance enhancer</t>
        </is>
      </c>
    </row>
    <row r="8">
      <c r="A8" s="8" t="inlineStr"/>
      <c r="B8" s="7" t="inlineStr">
        <is>
          <t>Brand / Supplier</t>
        </is>
      </c>
      <c r="C8" s="8" t="inlineStr">
        <is>
          <t>Maolac</t>
        </is>
      </c>
      <c r="D8" s="9" t="inlineStr"/>
      <c r="E8" s="7" t="inlineStr">
        <is>
          <t>Premium source</t>
        </is>
      </c>
    </row>
    <row r="9">
      <c r="A9" s="10" t="inlineStr"/>
      <c r="B9" s="11" t="inlineStr">
        <is>
          <t>Servings per pack</t>
        </is>
      </c>
      <c r="C9" s="10" t="inlineStr">
        <is>
          <t>24</t>
        </is>
      </c>
      <c r="D9" s="13" t="inlineStr">
        <is>
          <t>servings</t>
        </is>
      </c>
      <c r="E9" s="11" t="inlineStr">
        <is>
          <t>Single-month supply</t>
        </is>
      </c>
    </row>
    <row r="10">
      <c r="A10" s="8" t="inlineStr"/>
      <c r="B10" s="7" t="inlineStr">
        <is>
          <t>Pack size</t>
        </is>
      </c>
      <c r="C10" s="8" t="inlineStr">
        <is>
          <t>760–800</t>
        </is>
      </c>
      <c r="D10" s="9" t="inlineStr">
        <is>
          <t>g</t>
        </is>
      </c>
      <c r="E10" s="7" t="inlineStr">
        <is>
          <t>Premium positioning</t>
        </is>
      </c>
    </row>
    <row r="11">
      <c r="A11" s="14" t="inlineStr">
        <is>
          <t>Protein Bars</t>
        </is>
      </c>
      <c r="B11" s="11" t="inlineStr">
        <is>
          <t>Weight per bar</t>
        </is>
      </c>
      <c r="C11" s="10" t="inlineStr">
        <is>
          <t>55–60</t>
        </is>
      </c>
      <c r="D11" s="13" t="inlineStr">
        <is>
          <t>g</t>
        </is>
      </c>
      <c r="E11" s="11" t="inlineStr">
        <is>
          <t>Portable, convenient</t>
        </is>
      </c>
    </row>
    <row r="12">
      <c r="A12" s="8" t="inlineStr"/>
      <c r="B12" s="7" t="inlineStr">
        <is>
          <t>Protein per bar</t>
        </is>
      </c>
      <c r="C12" s="8" t="inlineStr">
        <is>
          <t>16–18</t>
        </is>
      </c>
      <c r="D12" s="9" t="inlineStr">
        <is>
          <t>g</t>
        </is>
      </c>
      <c r="E12" s="7" t="inlineStr">
        <is>
          <t>Balanced macros</t>
        </is>
      </c>
    </row>
    <row r="13">
      <c r="A13" s="14" t="inlineStr">
        <is>
          <t>Protein Chocolate</t>
        </is>
      </c>
      <c r="B13" s="11" t="inlineStr">
        <is>
          <t>Weight per bar</t>
        </is>
      </c>
      <c r="C13" s="10" t="inlineStr">
        <is>
          <t>38</t>
        </is>
      </c>
      <c r="D13" s="13" t="inlineStr">
        <is>
          <t>g</t>
        </is>
      </c>
      <c r="E13" s="11" t="inlineStr">
        <is>
          <t>Impulse size</t>
        </is>
      </c>
    </row>
    <row r="14">
      <c r="A14" s="8" t="inlineStr"/>
      <c r="B14" s="7" t="inlineStr">
        <is>
          <t>Protein per bar</t>
        </is>
      </c>
      <c r="C14" s="8" t="inlineStr">
        <is>
          <t>10–12</t>
        </is>
      </c>
      <c r="D14" s="9" t="inlineStr">
        <is>
          <t>g</t>
        </is>
      </c>
      <c r="E14" s="7" t="inlineStr">
        <is>
          <t>Functional indulgence</t>
        </is>
      </c>
    </row>
    <row r="15">
      <c r="A15" s="10" t="inlineStr"/>
      <c r="B15" s="11" t="inlineStr">
        <is>
          <t>Calories per bar</t>
        </is>
      </c>
      <c r="C15" s="10" t="inlineStr">
        <is>
          <t>≤150</t>
        </is>
      </c>
      <c r="D15" s="13" t="inlineStr">
        <is>
          <t>cal</t>
        </is>
      </c>
      <c r="E15" s="11" t="inlineStr">
        <is>
          <t>Guilt-free luxury</t>
        </is>
      </c>
    </row>
    <row r="17">
      <c r="A17" s="3" t="inlineStr">
        <is>
          <t>B. PRICING  —  B2C Retail (including VAT)</t>
        </is>
      </c>
    </row>
    <row r="18">
      <c r="A18" s="4" t="inlineStr">
        <is>
          <t>Product</t>
        </is>
      </c>
      <c r="B18" s="5" t="inlineStr">
        <is>
          <t>MSRP</t>
        </is>
      </c>
      <c r="C18" s="5" t="inlineStr">
        <is>
          <t>Effective Average</t>
        </is>
      </c>
      <c r="D18" s="5" t="inlineStr">
        <is>
          <t>Unit</t>
        </is>
      </c>
      <c r="E18" s="5" t="inlineStr">
        <is>
          <t>Notes</t>
        </is>
      </c>
    </row>
    <row r="19">
      <c r="A19" s="15" t="inlineStr">
        <is>
          <t>Protein Powder</t>
        </is>
      </c>
      <c r="B19" s="16" t="n">
        <v>159.9</v>
      </c>
      <c r="C19" s="16" t="n">
        <v>149.9</v>
      </c>
      <c r="D19" s="9" t="inlineStr">
        <is>
          <t>₪/unit</t>
        </is>
      </c>
      <c r="E19" s="7" t="inlineStr">
        <is>
          <t>Premium positioning at Super-Pharm</t>
        </is>
      </c>
    </row>
    <row r="20">
      <c r="A20" s="17" t="inlineStr">
        <is>
          <t>Protein Bars</t>
        </is>
      </c>
      <c r="B20" s="18" t="n">
        <v>13.9</v>
      </c>
      <c r="C20" s="18" t="n">
        <v>12.9</v>
      </c>
      <c r="D20" s="13" t="inlineStr">
        <is>
          <t>₪/unit</t>
        </is>
      </c>
      <c r="E20" s="11" t="inlineStr">
        <is>
          <t>Impulse price point</t>
        </is>
      </c>
    </row>
    <row r="21">
      <c r="A21" s="15" t="inlineStr">
        <is>
          <t>Protein Chocolate</t>
        </is>
      </c>
      <c r="B21" s="16" t="n">
        <v>14.9</v>
      </c>
      <c r="C21" s="16" t="n">
        <v>14.2</v>
      </c>
      <c r="D21" s="9" t="inlineStr">
        <is>
          <t>₪/unit</t>
        </is>
      </c>
      <c r="E21" s="7" t="inlineStr">
        <is>
          <t>Mid-range impulse, premium quality</t>
        </is>
      </c>
    </row>
    <row r="23">
      <c r="A23" s="3" t="inlineStr">
        <is>
          <t>C. ROYALTY MODEL</t>
        </is>
      </c>
    </row>
    <row r="24">
      <c r="A24" s="4" t="inlineStr">
        <is>
          <t>Parameter</t>
        </is>
      </c>
      <c r="B24" s="5" t="inlineStr">
        <is>
          <t>Value</t>
        </is>
      </c>
      <c r="C24" s="5" t="inlineStr">
        <is>
          <t>Unit</t>
        </is>
      </c>
      <c r="D24" s="5" t="inlineStr">
        <is>
          <t>Notes</t>
        </is>
      </c>
      <c r="E24" s="5" t="inlineStr"/>
    </row>
    <row r="25">
      <c r="A25" s="19" t="inlineStr">
        <is>
          <t>Raito royalty rate on retail sales</t>
        </is>
      </c>
      <c r="B25" s="20" t="n">
        <v>0.07000000000000001</v>
      </c>
      <c r="C25" s="21" t="inlineStr">
        <is>
          <t>%</t>
        </is>
      </c>
      <c r="D25" s="22" t="inlineStr">
        <is>
          <t>Applied to 100% B2C retail revenue</t>
        </is>
      </c>
    </row>
    <row r="27">
      <c r="A27" s="3" t="inlineStr">
        <is>
          <t>D. SKU EXPANSION ROADMAP</t>
        </is>
      </c>
    </row>
    <row r="28">
      <c r="A28" s="4" t="inlineStr">
        <is>
          <t>Phase</t>
        </is>
      </c>
      <c r="B28" s="5" t="inlineStr">
        <is>
          <t>Powder</t>
        </is>
      </c>
      <c r="C28" s="5" t="inlineStr">
        <is>
          <t>Bars</t>
        </is>
      </c>
      <c r="D28" s="5" t="inlineStr">
        <is>
          <t>Chocolate</t>
        </is>
      </c>
      <c r="E28" s="5" t="inlineStr">
        <is>
          <t>Total SKUs</t>
        </is>
      </c>
    </row>
    <row r="29">
      <c r="A29" s="23" t="inlineStr">
        <is>
          <t>Year 1 — Launch</t>
        </is>
      </c>
      <c r="B29" s="24" t="n">
        <v>3</v>
      </c>
      <c r="C29" s="24" t="n">
        <v>3</v>
      </c>
      <c r="D29" s="24" t="n">
        <v>3</v>
      </c>
      <c r="E29" s="25">
        <f>B29+C29+D29</f>
        <v/>
      </c>
    </row>
    <row r="31">
      <c r="A31" s="17" t="inlineStr">
        <is>
          <t>Year 2 — Range Expansion</t>
        </is>
      </c>
      <c r="B31" s="26" t="n">
        <v>5</v>
      </c>
      <c r="C31" s="26" t="n">
        <v>5</v>
      </c>
      <c r="D31" s="26" t="n">
        <v>4</v>
      </c>
      <c r="E31" s="27">
        <f>B31+C31+D31</f>
        <v/>
      </c>
    </row>
    <row r="32">
      <c r="A32" s="15" t="inlineStr">
        <is>
          <t>Year 3 — Platform</t>
        </is>
      </c>
      <c r="B32" s="28" t="n">
        <v>7</v>
      </c>
      <c r="C32" s="28" t="n">
        <v>7</v>
      </c>
      <c r="D32" s="28" t="n">
        <v>4</v>
      </c>
      <c r="E32" s="29">
        <f>B32+C32+D32</f>
        <v/>
      </c>
    </row>
    <row r="34">
      <c r="A34" s="3" t="inlineStr">
        <is>
          <t>E. EXCLUSIVITY STRUCTURE</t>
        </is>
      </c>
    </row>
    <row r="35">
      <c r="A35" s="4" t="inlineStr">
        <is>
          <t>Category</t>
        </is>
      </c>
      <c r="B35" s="5" t="inlineStr">
        <is>
          <t>Channel</t>
        </is>
      </c>
      <c r="C35" s="5" t="inlineStr">
        <is>
          <t>Scope</t>
        </is>
      </c>
      <c r="D35" s="5" t="inlineStr">
        <is>
          <t>Strategic Implication</t>
        </is>
      </c>
      <c r="E35" s="5" t="inlineStr"/>
    </row>
    <row r="36">
      <c r="A36" s="15" t="inlineStr">
        <is>
          <t>Protein Powder</t>
        </is>
      </c>
      <c r="B36" s="30" t="inlineStr">
        <is>
          <t>Super-Pharm ONLY</t>
        </is>
      </c>
      <c r="C36" s="8" t="inlineStr">
        <is>
          <t>100% exclusive</t>
        </is>
      </c>
      <c r="D36" s="7" t="inlineStr">
        <is>
          <t>Category ownership — daily driver</t>
        </is>
      </c>
    </row>
    <row r="37">
      <c r="A37" s="17" t="inlineStr">
        <is>
          <t>Protein Bars</t>
        </is>
      </c>
      <c r="B37" s="31" t="inlineStr">
        <is>
          <t>Super-Pharm ONLY</t>
        </is>
      </c>
      <c r="C37" s="10" t="inlineStr">
        <is>
          <t>100% exclusive</t>
        </is>
      </c>
      <c r="D37" s="11" t="inlineStr">
        <is>
          <t>Volume &amp; frequency play</t>
        </is>
      </c>
    </row>
    <row r="38">
      <c r="A38" s="15" t="inlineStr">
        <is>
          <t>Protein Chocolate</t>
        </is>
      </c>
      <c r="B38" s="30" t="inlineStr">
        <is>
          <t>Super-Pharm first</t>
        </is>
      </c>
      <c r="C38" s="8" t="inlineStr">
        <is>
          <t>2 exclusive + 2 mass</t>
        </is>
      </c>
      <c r="D38" s="7" t="inlineStr">
        <is>
          <t>Innovation + mass scale option</t>
        </is>
      </c>
    </row>
    <row r="40">
      <c r="A40" s="3" t="inlineStr">
        <is>
          <t>F. SALES FORECAST — GOOD CASE (B2C Retail, ₪ Millions)</t>
        </is>
      </c>
    </row>
    <row r="41">
      <c r="A41" s="4" t="inlineStr">
        <is>
          <t>Category</t>
        </is>
      </c>
      <c r="B41" s="5" t="inlineStr">
        <is>
          <t>Year 1</t>
        </is>
      </c>
      <c r="C41" s="5" t="inlineStr">
        <is>
          <t>Year 2</t>
        </is>
      </c>
      <c r="D41" s="5" t="inlineStr">
        <is>
          <t>Year 3</t>
        </is>
      </c>
      <c r="E41" s="5" t="inlineStr">
        <is>
          <t>Notes</t>
        </is>
      </c>
    </row>
    <row r="42">
      <c r="A42" s="15" t="inlineStr">
        <is>
          <t>Protein Powder</t>
        </is>
      </c>
      <c r="B42" s="28" t="n">
        <v>18</v>
      </c>
      <c r="C42" s="28" t="n">
        <v>23</v>
      </c>
      <c r="D42" s="28" t="n">
        <v>28</v>
      </c>
      <c r="E42" s="7" t="inlineStr">
        <is>
          <t>Premium positioning, high ASP</t>
        </is>
      </c>
    </row>
    <row r="43">
      <c r="A43" s="17" t="inlineStr">
        <is>
          <t>Protein Bars</t>
        </is>
      </c>
      <c r="B43" s="26" t="n">
        <v>7</v>
      </c>
      <c r="C43" s="26" t="n">
        <v>10</v>
      </c>
      <c r="D43" s="26" t="n">
        <v>13</v>
      </c>
      <c r="E43" s="11" t="inlineStr">
        <is>
          <t>Volume &amp; impulse driver</t>
        </is>
      </c>
    </row>
    <row r="44">
      <c r="A44" s="15" t="inlineStr">
        <is>
          <t>Protein Chocolate</t>
        </is>
      </c>
      <c r="B44" s="28" t="n">
        <v>4.5</v>
      </c>
      <c r="C44" s="28" t="n">
        <v>6.5</v>
      </c>
      <c r="D44" s="28" t="n">
        <v>8.5</v>
      </c>
      <c r="E44" s="7" t="inlineStr">
        <is>
          <t>New category, innovation</t>
        </is>
      </c>
    </row>
    <row r="45">
      <c r="A45" s="19" t="inlineStr">
        <is>
          <t>TOTAL — GOOD CASE</t>
        </is>
      </c>
      <c r="B45" s="32">
        <f>B42+B43+B44</f>
        <v/>
      </c>
      <c r="C45" s="32">
        <f>C42+C43+C44</f>
        <v/>
      </c>
      <c r="D45" s="32">
        <f>D42+D43+D44</f>
        <v/>
      </c>
    </row>
    <row r="47">
      <c r="A47" s="3" t="inlineStr">
        <is>
          <t>G. SALES FORECAST — IDEAL CASE (B2C Retail, ₪ Millions)</t>
        </is>
      </c>
    </row>
    <row r="48">
      <c r="A48" s="4" t="inlineStr">
        <is>
          <t>Category</t>
        </is>
      </c>
      <c r="B48" s="5" t="inlineStr">
        <is>
          <t>Year 1</t>
        </is>
      </c>
      <c r="C48" s="5" t="inlineStr">
        <is>
          <t>Year 2</t>
        </is>
      </c>
      <c r="D48" s="5" t="inlineStr">
        <is>
          <t>Year 3</t>
        </is>
      </c>
      <c r="E48" s="5" t="inlineStr">
        <is>
          <t>Notes</t>
        </is>
      </c>
    </row>
    <row r="49">
      <c r="A49" s="15" t="inlineStr">
        <is>
          <t>Protein Powder</t>
        </is>
      </c>
      <c r="B49" s="28" t="n">
        <v>24</v>
      </c>
      <c r="C49" s="28" t="n">
        <v>31</v>
      </c>
      <c r="D49" s="28" t="n">
        <v>39</v>
      </c>
      <c r="E49" s="7" t="inlineStr">
        <is>
          <t>Strong Deni Avdija pull, distribution lift</t>
        </is>
      </c>
    </row>
    <row r="50">
      <c r="A50" s="17" t="inlineStr">
        <is>
          <t>Protein Bars</t>
        </is>
      </c>
      <c r="B50" s="26" t="n">
        <v>9</v>
      </c>
      <c r="C50" s="26" t="n">
        <v>13</v>
      </c>
      <c r="D50" s="26" t="n">
        <v>17</v>
      </c>
      <c r="E50" s="11" t="inlineStr">
        <is>
          <t>Viral adoption, impulse momentum</t>
        </is>
      </c>
    </row>
    <row r="51">
      <c r="A51" s="15" t="inlineStr">
        <is>
          <t>Protein Chocolate</t>
        </is>
      </c>
      <c r="B51" s="28" t="n">
        <v>6</v>
      </c>
      <c r="C51" s="28" t="n">
        <v>8.5</v>
      </c>
      <c r="D51" s="28" t="n">
        <v>11</v>
      </c>
      <c r="E51" s="7" t="inlineStr">
        <is>
          <t>Category breakout, premium indulgence</t>
        </is>
      </c>
    </row>
    <row r="52">
      <c r="A52" s="33" t="inlineStr">
        <is>
          <t>TOTAL — IDEAL CASE</t>
        </is>
      </c>
      <c r="B52" s="34">
        <f>B49+B50+B51</f>
        <v/>
      </c>
      <c r="C52" s="34">
        <f>C49+C50+C51</f>
        <v/>
      </c>
      <c r="D52" s="34">
        <f>D49+D50+D51</f>
        <v/>
      </c>
    </row>
  </sheetData>
  <mergeCells count="9">
    <mergeCell ref="A34:E34"/>
    <mergeCell ref="A4:E4"/>
    <mergeCell ref="A2:E2"/>
    <mergeCell ref="A40:E40"/>
    <mergeCell ref="A47:E47"/>
    <mergeCell ref="A1:E1"/>
    <mergeCell ref="A23:E23"/>
    <mergeCell ref="A17:E17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A86B"/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TURBO x SUPER-PHARM — RETAIL SALES FORECAST (B2C)</t>
        </is>
      </c>
    </row>
    <row r="2">
      <c r="A2" s="2" t="inlineStr">
        <is>
          <t>Three-year platform build: Good Case (₪29.5M → ₪39.5M → ₪49.5M)  |  Ideal Case (₪39M → ₪52.5M → ₪67M)  |  All formulas reference Assumptions</t>
        </is>
      </c>
    </row>
    <row r="4">
      <c r="A4" s="3" t="inlineStr">
        <is>
          <t>SCENARIO 1: GOOD CASE</t>
        </is>
      </c>
    </row>
    <row r="5">
      <c r="A5" s="4" t="inlineStr">
        <is>
          <t>Category</t>
        </is>
      </c>
      <c r="B5" s="5" t="inlineStr">
        <is>
          <t>Year 1</t>
        </is>
      </c>
      <c r="C5" s="5" t="inlineStr">
        <is>
          <t>Year 2</t>
        </is>
      </c>
      <c r="D5" s="5" t="inlineStr">
        <is>
          <t>Year 3</t>
        </is>
      </c>
      <c r="E5" s="5" t="inlineStr">
        <is>
          <t>3-Year Total</t>
        </is>
      </c>
    </row>
    <row r="6">
      <c r="A6" s="8" t="inlineStr">
        <is>
          <t>Protein Powder</t>
        </is>
      </c>
      <c r="B6" s="35">
        <f>Assumptions!$B$42</f>
        <v/>
      </c>
      <c r="C6" s="35">
        <f>Assumptions!$C$42</f>
        <v/>
      </c>
      <c r="D6" s="35">
        <f>Assumptions!$D$42</f>
        <v/>
      </c>
      <c r="E6" s="36">
        <f>B6+C6+D6</f>
        <v/>
      </c>
    </row>
    <row r="7">
      <c r="A7" s="10" t="inlineStr">
        <is>
          <t>Protein Bars</t>
        </is>
      </c>
      <c r="B7" s="37">
        <f>Assumptions!$B$43</f>
        <v/>
      </c>
      <c r="C7" s="37">
        <f>Assumptions!$C$43</f>
        <v/>
      </c>
      <c r="D7" s="37">
        <f>Assumptions!$D$43</f>
        <v/>
      </c>
      <c r="E7" s="38">
        <f>B7+C7+D7</f>
        <v/>
      </c>
    </row>
    <row r="8">
      <c r="A8" s="8" t="inlineStr">
        <is>
          <t>Protein Chocolate</t>
        </is>
      </c>
      <c r="B8" s="35">
        <f>Assumptions!$B$44</f>
        <v/>
      </c>
      <c r="C8" s="35">
        <f>Assumptions!$C$44</f>
        <v/>
      </c>
      <c r="D8" s="35">
        <f>Assumptions!$D$44</f>
        <v/>
      </c>
      <c r="E8" s="36">
        <f>B8+C8+D8</f>
        <v/>
      </c>
    </row>
    <row r="9">
      <c r="A9" s="19" t="inlineStr">
        <is>
          <t>TOTAL — GOOD CASE</t>
        </is>
      </c>
      <c r="B9" s="39">
        <f>SUM(B6:B8)</f>
        <v/>
      </c>
      <c r="C9" s="39">
        <f>SUM(C6:C8)</f>
        <v/>
      </c>
      <c r="D9" s="39">
        <f>SUM(D6:D8)</f>
        <v/>
      </c>
      <c r="E9" s="39">
        <f>SUM(E6:E8)</f>
        <v/>
      </c>
    </row>
    <row r="11">
      <c r="A11" s="3" t="inlineStr">
        <is>
          <t>SCENARIO 2: IDEAL CASE</t>
        </is>
      </c>
    </row>
    <row r="12">
      <c r="A12" s="4" t="inlineStr">
        <is>
          <t>Category</t>
        </is>
      </c>
      <c r="B12" s="5" t="inlineStr">
        <is>
          <t>Year 1</t>
        </is>
      </c>
      <c r="C12" s="5" t="inlineStr">
        <is>
          <t>Year 2</t>
        </is>
      </c>
      <c r="D12" s="5" t="inlineStr">
        <is>
          <t>Year 3</t>
        </is>
      </c>
      <c r="E12" s="5" t="inlineStr">
        <is>
          <t>3-Year Total</t>
        </is>
      </c>
    </row>
    <row r="13">
      <c r="A13" s="8" t="inlineStr">
        <is>
          <t>Protein Powder</t>
        </is>
      </c>
      <c r="B13" s="35">
        <f>Assumptions!$B$49</f>
        <v/>
      </c>
      <c r="C13" s="35">
        <f>Assumptions!$C$49</f>
        <v/>
      </c>
      <c r="D13" s="35">
        <f>Assumptions!$D$49</f>
        <v/>
      </c>
      <c r="E13" s="36">
        <f>B13+C13+D13</f>
        <v/>
      </c>
    </row>
    <row r="14">
      <c r="A14" s="10" t="inlineStr">
        <is>
          <t>Protein Bars</t>
        </is>
      </c>
      <c r="B14" s="37">
        <f>Assumptions!$B$50</f>
        <v/>
      </c>
      <c r="C14" s="37">
        <f>Assumptions!$C$50</f>
        <v/>
      </c>
      <c r="D14" s="37">
        <f>Assumptions!$D$50</f>
        <v/>
      </c>
      <c r="E14" s="38">
        <f>B14+C14+D14</f>
        <v/>
      </c>
    </row>
    <row r="15">
      <c r="A15" s="8" t="inlineStr">
        <is>
          <t>Protein Chocolate</t>
        </is>
      </c>
      <c r="B15" s="35">
        <f>Assumptions!$B$51</f>
        <v/>
      </c>
      <c r="C15" s="35">
        <f>Assumptions!$C$51</f>
        <v/>
      </c>
      <c r="D15" s="35">
        <f>Assumptions!$D$51</f>
        <v/>
      </c>
      <c r="E15" s="36">
        <f>B15+C15+D15</f>
        <v/>
      </c>
    </row>
    <row r="16">
      <c r="A16" s="33" t="inlineStr">
        <is>
          <t>TOTAL — IDEAL CASE</t>
        </is>
      </c>
      <c r="B16" s="40">
        <f>SUM(B13:B15)</f>
        <v/>
      </c>
      <c r="C16" s="40">
        <f>SUM(C13:C15)</f>
        <v/>
      </c>
      <c r="D16" s="40">
        <f>SUM(D13:D15)</f>
        <v/>
      </c>
      <c r="E16" s="40">
        <f>SUM(E13:E15)</f>
        <v/>
      </c>
    </row>
  </sheetData>
  <mergeCells count="4">
    <mergeCell ref="A2:E2"/>
    <mergeCell ref="A11:E11"/>
    <mergeCell ref="A1:E1"/>
    <mergeCell ref="A4: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9500"/>
    <outlinePr summaryBelow="1" summaryRight="1"/>
    <pageSetUpPr/>
  </sheetPr>
  <dimension ref="A1:F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</cols>
  <sheetData>
    <row r="1" ht="28" customHeight="1">
      <c r="A1" s="1" t="inlineStr">
        <is>
          <t>TURBO x SUPER-PHARM — ROYALTY REVENUE TO RAITO (7%)</t>
        </is>
      </c>
    </row>
    <row r="2">
      <c r="A2" s="2" t="inlineStr">
        <is>
          <t>Raito receives 7% royalty on all B2C retail sales  |  Per-SKU analysis shows revenue per individual SKU across product categories and years</t>
        </is>
      </c>
    </row>
    <row r="4">
      <c r="A4" s="3" t="inlineStr">
        <is>
          <t>SCENARIO 1: GOOD CASE ROYALTIES</t>
        </is>
      </c>
    </row>
    <row r="5">
      <c r="A5" s="4" t="inlineStr">
        <is>
          <t>Category</t>
        </is>
      </c>
      <c r="B5" s="5" t="inlineStr">
        <is>
          <t>Year 1</t>
        </is>
      </c>
      <c r="C5" s="5" t="inlineStr">
        <is>
          <t>Year 2</t>
        </is>
      </c>
      <c r="D5" s="5" t="inlineStr">
        <is>
          <t>Year 3</t>
        </is>
      </c>
      <c r="E5" s="5" t="inlineStr">
        <is>
          <t>3-Year Total</t>
        </is>
      </c>
      <c r="F5" s="5" t="inlineStr">
        <is>
          <t>SKU Count Y3</t>
        </is>
      </c>
    </row>
    <row r="6">
      <c r="A6" s="8" t="inlineStr">
        <is>
          <t>Protein Powder</t>
        </is>
      </c>
      <c r="B6" s="41">
        <f>Assumptions!$B$42*Assumptions!$B$25</f>
        <v/>
      </c>
      <c r="C6" s="41">
        <f>Assumptions!$C$42*Assumptions!$B$25</f>
        <v/>
      </c>
      <c r="D6" s="41">
        <f>Assumptions!$D$42*Assumptions!$B$25</f>
        <v/>
      </c>
      <c r="E6" s="42">
        <f>B6+C6+D6</f>
        <v/>
      </c>
      <c r="F6" s="43">
        <f>Assumptions!$B$32</f>
        <v/>
      </c>
    </row>
    <row r="7">
      <c r="A7" s="10" t="inlineStr">
        <is>
          <t>Protein Bars</t>
        </is>
      </c>
      <c r="B7" s="44">
        <f>Assumptions!$B$43*Assumptions!$B$25</f>
        <v/>
      </c>
      <c r="C7" s="44">
        <f>Assumptions!$C$43*Assumptions!$B$25</f>
        <v/>
      </c>
      <c r="D7" s="44">
        <f>Assumptions!$D$43*Assumptions!$B$25</f>
        <v/>
      </c>
      <c r="E7" s="45">
        <f>B7+C7+D7</f>
        <v/>
      </c>
      <c r="F7" s="46">
        <f>Assumptions!$C$32</f>
        <v/>
      </c>
    </row>
    <row r="8">
      <c r="A8" s="8" t="inlineStr">
        <is>
          <t>Protein Chocolate</t>
        </is>
      </c>
      <c r="B8" s="41">
        <f>Assumptions!$B$44*Assumptions!$B$25</f>
        <v/>
      </c>
      <c r="C8" s="41">
        <f>Assumptions!$C$44*Assumptions!$B$25</f>
        <v/>
      </c>
      <c r="D8" s="41">
        <f>Assumptions!$D$44*Assumptions!$B$25</f>
        <v/>
      </c>
      <c r="E8" s="42">
        <f>B8+C8+D8</f>
        <v/>
      </c>
      <c r="F8" s="43">
        <f>Assumptions!$D$32</f>
        <v/>
      </c>
    </row>
    <row r="9">
      <c r="A9" s="19" t="inlineStr">
        <is>
          <t>TOTAL ROYALTY — GOOD CASE</t>
        </is>
      </c>
      <c r="B9" s="47">
        <f>SUM(B6:B8)</f>
        <v/>
      </c>
      <c r="C9" s="47">
        <f>SUM(C6:C8)</f>
        <v/>
      </c>
      <c r="D9" s="47">
        <f>SUM(D6:D8)</f>
        <v/>
      </c>
      <c r="E9" s="47">
        <f>B9+C9+D9</f>
        <v/>
      </c>
    </row>
    <row r="11">
      <c r="A11" s="3" t="inlineStr">
        <is>
          <t>SCENARIO 2: IDEAL CASE ROYALTIES</t>
        </is>
      </c>
    </row>
    <row r="12">
      <c r="A12" s="4" t="inlineStr">
        <is>
          <t>Category</t>
        </is>
      </c>
      <c r="B12" s="5" t="inlineStr">
        <is>
          <t>Year 1</t>
        </is>
      </c>
      <c r="C12" s="5" t="inlineStr">
        <is>
          <t>Year 2</t>
        </is>
      </c>
      <c r="D12" s="5" t="inlineStr">
        <is>
          <t>Year 3</t>
        </is>
      </c>
      <c r="E12" s="5" t="inlineStr">
        <is>
          <t>3-Year Total</t>
        </is>
      </c>
      <c r="F12" s="5" t="inlineStr">
        <is>
          <t>SKU Count Y3</t>
        </is>
      </c>
    </row>
    <row r="13">
      <c r="A13" s="8" t="inlineStr">
        <is>
          <t>Protein Powder</t>
        </is>
      </c>
      <c r="B13" s="41">
        <f>Assumptions!$B$49*Assumptions!$B$25</f>
        <v/>
      </c>
      <c r="C13" s="41">
        <f>Assumptions!$C$49*Assumptions!$B$25</f>
        <v/>
      </c>
      <c r="D13" s="41">
        <f>Assumptions!$D$49*Assumptions!$B$25</f>
        <v/>
      </c>
      <c r="E13" s="42">
        <f>B13+C13+D13</f>
        <v/>
      </c>
      <c r="F13" s="43">
        <f>Assumptions!$B$32</f>
        <v/>
      </c>
    </row>
    <row r="14">
      <c r="A14" s="10" t="inlineStr">
        <is>
          <t>Protein Bars</t>
        </is>
      </c>
      <c r="B14" s="44">
        <f>Assumptions!$B$50*Assumptions!$B$25</f>
        <v/>
      </c>
      <c r="C14" s="44">
        <f>Assumptions!$C$50*Assumptions!$B$25</f>
        <v/>
      </c>
      <c r="D14" s="44">
        <f>Assumptions!$D$50*Assumptions!$B$25</f>
        <v/>
      </c>
      <c r="E14" s="45">
        <f>B14+C14+D14</f>
        <v/>
      </c>
      <c r="F14" s="46">
        <f>Assumptions!$C$32</f>
        <v/>
      </c>
    </row>
    <row r="15">
      <c r="A15" s="8" t="inlineStr">
        <is>
          <t>Protein Chocolate</t>
        </is>
      </c>
      <c r="B15" s="41">
        <f>Assumptions!$B$51*Assumptions!$B$25</f>
        <v/>
      </c>
      <c r="C15" s="41">
        <f>Assumptions!$C$51*Assumptions!$B$25</f>
        <v/>
      </c>
      <c r="D15" s="41">
        <f>Assumptions!$D$51*Assumptions!$B$25</f>
        <v/>
      </c>
      <c r="E15" s="42">
        <f>B15+C15+D15</f>
        <v/>
      </c>
      <c r="F15" s="43">
        <f>Assumptions!$D$32</f>
        <v/>
      </c>
    </row>
    <row r="16">
      <c r="A16" s="33" t="inlineStr">
        <is>
          <t>TOTAL ROYALTY — IDEAL CASE</t>
        </is>
      </c>
      <c r="B16" s="48">
        <f>SUM(B13:B15)</f>
        <v/>
      </c>
      <c r="C16" s="48">
        <f>SUM(C13:C15)</f>
        <v/>
      </c>
      <c r="D16" s="48">
        <f>SUM(D13:D15)</f>
        <v/>
      </c>
      <c r="E16" s="48">
        <f>B16+C16+D16</f>
        <v/>
      </c>
    </row>
  </sheetData>
  <mergeCells count="4">
    <mergeCell ref="A2:F2"/>
    <mergeCell ref="A11:F11"/>
    <mergeCell ref="A1:F1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3A52"/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4" customWidth="1" min="4" max="4"/>
    <col width="16" customWidth="1" min="5" max="5"/>
    <col width="12" customWidth="1" min="6" max="6"/>
    <col width="14" customWidth="1" min="7" max="7"/>
  </cols>
  <sheetData>
    <row r="1" ht="28" customHeight="1">
      <c r="A1" s="1" t="inlineStr">
        <is>
          <t>TURBO x SUPER-PHARM — SKU EXPANSION ROADMAP</t>
        </is>
      </c>
    </row>
    <row r="2">
      <c r="A2" s="2" t="inlineStr">
        <is>
          <t>Platform strategy: 3-year SKU expansion from 9 → 14 → 18 SKUs  |  Exclusive positioning at Super-Pharm across all categories</t>
        </is>
      </c>
    </row>
    <row r="4">
      <c r="A4" s="3" t="inlineStr">
        <is>
          <t>SKU EXPANSION TIMELINE</t>
        </is>
      </c>
    </row>
    <row r="5">
      <c r="A5" s="4" t="inlineStr">
        <is>
          <t>Phase</t>
        </is>
      </c>
      <c r="B5" s="5" t="inlineStr">
        <is>
          <t>Powder SKUs</t>
        </is>
      </c>
      <c r="C5" s="5" t="inlineStr">
        <is>
          <t>Bars SKUs</t>
        </is>
      </c>
      <c r="D5" s="5" t="inlineStr">
        <is>
          <t>Chocolate SKUs</t>
        </is>
      </c>
      <c r="E5" s="5" t="inlineStr">
        <is>
          <t>Total SKUs</t>
        </is>
      </c>
      <c r="F5" s="5" t="inlineStr">
        <is>
          <t>Strategy</t>
        </is>
      </c>
      <c r="G5" s="5" t="inlineStr">
        <is>
          <t>Notes</t>
        </is>
      </c>
    </row>
    <row r="6" ht="40" customHeight="1">
      <c r="A6" s="49" t="inlineStr">
        <is>
          <t>Year 1
Launch</t>
        </is>
      </c>
      <c r="B6" s="50" t="inlineStr">
        <is>
          <t>3</t>
        </is>
      </c>
      <c r="C6" s="50" t="inlineStr">
        <is>
          <t>3</t>
        </is>
      </c>
      <c r="D6" s="50" t="inlineStr">
        <is>
          <t>3</t>
        </is>
      </c>
      <c r="E6" s="51" t="inlineStr">
        <is>
          <t>9</t>
        </is>
      </c>
      <c r="F6" s="52" t="inlineStr">
        <is>
          <t>Category entry</t>
        </is>
      </c>
      <c r="G6" s="53" t="inlineStr">
        <is>
          <t>Foundation: proven formulas in Powder (daily), Bars (impulse), Chocolate (innovation)</t>
        </is>
      </c>
    </row>
    <row r="7" ht="40" customHeight="1">
      <c r="A7" s="54" t="inlineStr">
        <is>
          <t>Year 2
Range
Expansion</t>
        </is>
      </c>
      <c r="B7" s="55" t="inlineStr">
        <is>
          <t>5</t>
        </is>
      </c>
      <c r="C7" s="55" t="inlineStr">
        <is>
          <t>5</t>
        </is>
      </c>
      <c r="D7" s="55" t="inlineStr">
        <is>
          <t>4</t>
        </is>
      </c>
      <c r="E7" s="56" t="inlineStr">
        <is>
          <t>14</t>
        </is>
      </c>
      <c r="F7" s="57" t="inlineStr">
        <is>
          <t>Portfolio depth</t>
        </is>
      </c>
      <c r="G7" s="58" t="inlineStr">
        <is>
          <t>Add flavors, formats, sizes. Powder: variants. Bars: textures. Chocolate: premium line.</t>
        </is>
      </c>
    </row>
    <row r="8" ht="40" customHeight="1">
      <c r="A8" s="59" t="inlineStr">
        <is>
          <t>Year 3
Platform</t>
        </is>
      </c>
      <c r="B8" s="60" t="inlineStr">
        <is>
          <t>7</t>
        </is>
      </c>
      <c r="C8" s="60" t="inlineStr">
        <is>
          <t>7</t>
        </is>
      </c>
      <c r="D8" s="60" t="inlineStr">
        <is>
          <t>4</t>
        </is>
      </c>
      <c r="E8" s="61" t="inlineStr">
        <is>
          <t>18</t>
        </is>
      </c>
      <c r="F8" s="62" t="inlineStr">
        <is>
          <t>Market dominance</t>
        </is>
      </c>
      <c r="G8" s="63" t="inlineStr">
        <is>
          <t>Consolidate Powder/Bars, stabilize Chocolate. Position as trusted lifestyle brand.</t>
        </is>
      </c>
    </row>
    <row r="10">
      <c r="A10" s="3" t="inlineStr">
        <is>
          <t>EXCLUSIVITY STRUCTURE</t>
        </is>
      </c>
    </row>
    <row r="11">
      <c r="A11" s="4" t="inlineStr">
        <is>
          <t>Category</t>
        </is>
      </c>
      <c r="B11" s="5" t="inlineStr">
        <is>
          <t>Super-Pharm Status</t>
        </is>
      </c>
      <c r="C11" s="5" t="inlineStr">
        <is>
          <t>Mass Market Option</t>
        </is>
      </c>
      <c r="D11" s="5" t="inlineStr">
        <is>
          <t>Strategic Implication</t>
        </is>
      </c>
      <c r="E11" s="5" t="inlineStr">
        <is>
          <t>Launch Priority</t>
        </is>
      </c>
      <c r="F11" s="5" t="inlineStr"/>
      <c r="G11" s="5" t="inlineStr"/>
    </row>
    <row r="12">
      <c r="A12" s="15" t="inlineStr">
        <is>
          <t>Protein Powder</t>
        </is>
      </c>
      <c r="B12" s="30" t="inlineStr">
        <is>
          <t>Exclusive</t>
        </is>
      </c>
      <c r="C12" s="64" t="inlineStr">
        <is>
          <t>None — locked to SP</t>
        </is>
      </c>
      <c r="D12" s="58" t="inlineStr">
        <is>
          <t>Premium daily driver, category ownership</t>
        </is>
      </c>
      <c r="E12" s="8" t="inlineStr">
        <is>
          <t>Year 1</t>
        </is>
      </c>
    </row>
    <row r="13">
      <c r="A13" s="17" t="inlineStr">
        <is>
          <t>Protein Bars</t>
        </is>
      </c>
      <c r="B13" s="31" t="inlineStr">
        <is>
          <t>Exclusive</t>
        </is>
      </c>
      <c r="C13" s="65" t="inlineStr">
        <is>
          <t>None — locked to SP</t>
        </is>
      </c>
      <c r="D13" s="63" t="inlineStr">
        <is>
          <t>Frequency &amp; volume anchor, impulse</t>
        </is>
      </c>
      <c r="E13" s="10" t="inlineStr">
        <is>
          <t>Year 1</t>
        </is>
      </c>
    </row>
    <row r="14">
      <c r="A14" s="15" t="inlineStr">
        <is>
          <t>Protein Chocolate</t>
        </is>
      </c>
      <c r="B14" s="30" t="inlineStr">
        <is>
          <t>Super-Pharm First</t>
        </is>
      </c>
      <c r="C14" s="64" t="inlineStr">
        <is>
          <t>2 SKUs available later</t>
        </is>
      </c>
      <c r="D14" s="58" t="inlineStr">
        <is>
          <t>Innovation + scale optionality</t>
        </is>
      </c>
      <c r="E14" s="8" t="inlineStr">
        <is>
          <t>Year 1</t>
        </is>
      </c>
    </row>
    <row r="16">
      <c r="A16" s="3" t="inlineStr">
        <is>
          <t>REVENUE PER SKU ANALYSIS  (Good Case)</t>
        </is>
      </c>
    </row>
    <row r="17">
      <c r="A17" s="4" t="inlineStr">
        <is>
          <t>Category</t>
        </is>
      </c>
      <c r="B17" s="5" t="inlineStr">
        <is>
          <t>Year 1 Revenue</t>
        </is>
      </c>
      <c r="C17" s="5" t="inlineStr">
        <is>
          <t>Y1 SKU Count</t>
        </is>
      </c>
      <c r="D17" s="5" t="inlineStr">
        <is>
          <t>Revenue/SKU Y1</t>
        </is>
      </c>
      <c r="E17" s="5" t="inlineStr">
        <is>
          <t>Year 3 Revenue</t>
        </is>
      </c>
      <c r="F17" s="5" t="inlineStr">
        <is>
          <t>Y3 SKU Count</t>
        </is>
      </c>
      <c r="G17" s="5" t="inlineStr">
        <is>
          <t>Revenue/SKU Y3</t>
        </is>
      </c>
    </row>
    <row r="18">
      <c r="A18" s="15" t="inlineStr">
        <is>
          <t>Protein Powder</t>
        </is>
      </c>
      <c r="B18" s="35">
        <f>Assumptions!$B$42</f>
        <v/>
      </c>
      <c r="C18" s="43">
        <f>Assumptions!$B$29</f>
        <v/>
      </c>
      <c r="D18" s="66">
        <f>B18/C18</f>
        <v/>
      </c>
      <c r="E18" s="35">
        <f>Assumptions!$D$42</f>
        <v/>
      </c>
      <c r="F18" s="43">
        <f>Assumptions!$B$32</f>
        <v/>
      </c>
      <c r="G18" s="66">
        <f>E18/F18</f>
        <v/>
      </c>
    </row>
    <row r="19">
      <c r="A19" s="17" t="inlineStr">
        <is>
          <t>Protein Bars</t>
        </is>
      </c>
      <c r="B19" s="37">
        <f>Assumptions!$B$43</f>
        <v/>
      </c>
      <c r="C19" s="46">
        <f>Assumptions!$C$29</f>
        <v/>
      </c>
      <c r="D19" s="67">
        <f>B19/C19</f>
        <v/>
      </c>
      <c r="E19" s="37">
        <f>Assumptions!$D$43</f>
        <v/>
      </c>
      <c r="F19" s="46">
        <f>Assumptions!$C$32</f>
        <v/>
      </c>
      <c r="G19" s="67">
        <f>E19/F19</f>
        <v/>
      </c>
    </row>
    <row r="20">
      <c r="A20" s="15" t="inlineStr">
        <is>
          <t>Protein Chocolate</t>
        </is>
      </c>
      <c r="B20" s="35">
        <f>Assumptions!$B$44</f>
        <v/>
      </c>
      <c r="C20" s="43">
        <f>Assumptions!$D$29</f>
        <v/>
      </c>
      <c r="D20" s="66">
        <f>B20/C20</f>
        <v/>
      </c>
      <c r="E20" s="35">
        <f>Assumptions!$D$44</f>
        <v/>
      </c>
      <c r="F20" s="43">
        <f>Assumptions!$D$32</f>
        <v/>
      </c>
      <c r="G20" s="66">
        <f>E20/F20</f>
        <v/>
      </c>
    </row>
  </sheetData>
  <mergeCells count="5">
    <mergeCell ref="A1:G1"/>
    <mergeCell ref="A4:G4"/>
    <mergeCell ref="A16:G16"/>
    <mergeCell ref="A2:G2"/>
    <mergeCell ref="A10:G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8A04A"/>
    <outlinePr summaryBelow="1" summaryRight="1"/>
    <pageSetUpPr/>
  </sheetPr>
  <dimension ref="A1:F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TURBO x SUPER-PHARM — STRATEGIC ANALYSIS</t>
        </is>
      </c>
    </row>
    <row r="2">
      <c r="A2" s="2" t="inlineStr">
        <is>
          <t>Category ownership platform, not just licensing. Three consumption moments. Genuine exclusivity. Deni Avdija as brand ambassador.</t>
        </is>
      </c>
    </row>
    <row r="4">
      <c r="A4" s="3" t="inlineStr">
        <is>
          <t>A. THE STRATEGIC THESIS</t>
        </is>
      </c>
    </row>
    <row r="5" ht="40" customHeight="1">
      <c r="A5" s="68" t="inlineStr">
        <is>
          <t>Category Ownership,
Not Just Licensing</t>
        </is>
      </c>
      <c r="B5" s="69" t="inlineStr">
        <is>
          <t>Turbo builds a complete protein lifestyle portfolio at Super-Pharm — not individual products. Three consumption moments map to three categories: Powder (daily routine, trust, performance); Bars (on-the-go, frequency, impulse); Chocolate (indulgence, innovation, new consumer acquisition).</t>
        </is>
      </c>
    </row>
    <row r="6" ht="40" customHeight="1">
      <c r="A6" s="70" t="inlineStr">
        <is>
          <t>Exclusivity Creates
Real Value</t>
        </is>
      </c>
      <c r="B6" s="71" t="inlineStr">
        <is>
          <t>Powder and Bars are locked to Super-Pharm; Chocolate is first-mover advantage. This exclusivity is defensible — no other partner can offer the full stack. Retailers outside SP cannot compete on the platform.</t>
        </is>
      </c>
    </row>
    <row r="7" ht="40" customHeight="1">
      <c r="A7" s="68" t="inlineStr">
        <is>
          <t>Brand Pull from
Deni Avdija</t>
        </is>
      </c>
      <c r="B7" s="69" t="inlineStr">
        <is>
          <t>The celebrity ambassador is the engine. Consumers buy Turbo FOR Deni, not in spite of premium pricing. This pull justifies the premium ASP and justifies Super-Pharm shelf space allocation versus competing brands.</t>
        </is>
      </c>
    </row>
    <row r="8" ht="40" customHeight="1">
      <c r="A8" s="70" t="inlineStr">
        <is>
          <t>Platform Synergy
Across Categories</t>
        </is>
      </c>
      <c r="B8" s="71" t="inlineStr">
        <is>
          <t>Powder builds trust and category awareness. Bars drive frequency and basket size. Chocolate drives innovation perception and acquisition of non-protein consumers. Each category strengthens the others within the same platform.</t>
        </is>
      </c>
    </row>
    <row r="10">
      <c r="A10" s="3" t="inlineStr">
        <is>
          <t>B. PARTNERSHIP PRINCIPLES</t>
        </is>
      </c>
    </row>
    <row r="11" ht="35" customHeight="1">
      <c r="A11" s="72" t="inlineStr">
        <is>
          <t>►  Super-Pharm as Strategic Partner
(not just retailer)</t>
        </is>
      </c>
      <c r="B11" s="73" t="inlineStr">
        <is>
          <t>This is a co-owned platform, not vendor-retail. SP is not a distribution channel — it's the exclusive channel. The partnership lives or dies on SP's willingness to allocate space and drive consumer pull.</t>
        </is>
      </c>
    </row>
    <row r="12" ht="35" customHeight="1">
      <c r="A12" s="74" t="inlineStr">
        <is>
          <t>►  Genuine Exclusivity Creates Value</t>
        </is>
      </c>
      <c r="B12" s="75" t="inlineStr">
        <is>
          <t>Powder and Bars cannot go to Shufersal, Mega, or independents. Chocolate has optionality for controlled expansion. This lock-in is non-negotiable — it's the core of why SP signs the deal.</t>
        </is>
      </c>
    </row>
    <row r="13" ht="35" customHeight="1">
      <c r="A13" s="72" t="inlineStr">
        <is>
          <t>►  Exceptional Brand Pull
(Deni Avdija as Lever)</t>
        </is>
      </c>
      <c r="B13" s="73" t="inlineStr">
        <is>
          <t>Deni is the contract. His social media reach, personal brand, and fitness credibility drive consumer desire. Every product is positioned as 'Deni's choice.' Without him, the model collapses.</t>
        </is>
      </c>
    </row>
    <row r="14" ht="35" customHeight="1">
      <c r="A14" s="74" t="inlineStr">
        <is>
          <t>►  Category Expansion,
Not Just Demand Redistribution</t>
        </is>
      </c>
      <c r="B14" s="75" t="inlineStr">
        <is>
          <t>This is not a zero-sum game. Protein at Super-Pharm is growing. Turbo is expanding the category, not stealing from Elite or GoNutrition. Good Case assumes 3-year growth; Ideal assumes viral adoption on Deni momentum.</t>
        </is>
      </c>
    </row>
    <row r="16">
      <c r="A16" s="3" t="inlineStr">
        <is>
          <t>C. WHY THE IDEAL CASE IS JUSTIFIED</t>
        </is>
      </c>
    </row>
    <row r="17" ht="30" customHeight="1">
      <c r="A17" s="76" t="inlineStr">
        <is>
          <t>►  Deni Factor</t>
        </is>
      </c>
      <c r="B17" s="73" t="inlineStr">
        <is>
          <t>Deni Avdija is an elite Israeli athlete with significant social media pull. His endorsement drives awareness and trial unlike generic celebrity partnerships. If content + placement perform, viral adoption is plausible.</t>
        </is>
      </c>
    </row>
    <row r="18" ht="30" customHeight="1">
      <c r="A18" s="77" t="inlineStr">
        <is>
          <t>►  Category Momentum</t>
        </is>
      </c>
      <c r="B18" s="75" t="inlineStr">
        <is>
          <t>Protein supplements are growing 15–20% annually in Israel. Turbo enters at the right moment with premium positioning and exclusive distribution. There is no ceiling — only distribution and marketing constraints.</t>
        </is>
      </c>
    </row>
    <row r="19" ht="30" customHeight="1">
      <c r="A19" s="76" t="inlineStr">
        <is>
          <t>►  Super-Pharm Commitment</t>
        </is>
      </c>
      <c r="B19" s="73" t="inlineStr">
        <is>
          <t>SP is investing in the platform with prominent shelf space, point-of-sale, and in-store sampling. If they execute the marketing plan, Ideal Case numbers are achievable within 3 years.</t>
        </is>
      </c>
    </row>
    <row r="20" ht="30" customHeight="1">
      <c r="A20" s="77" t="inlineStr">
        <is>
          <t>►  Portfolio Strength</t>
        </is>
      </c>
      <c r="B20" s="75" t="inlineStr">
        <is>
          <t>Three products create a self-reinforcing loop: Powder drives category, Bars drive frequency, Chocolate drives trial. This is not a single-SKU launch — it's a portfolio play.</t>
        </is>
      </c>
    </row>
    <row r="22">
      <c r="A22" s="3" t="inlineStr">
        <is>
          <t>D. CRITICAL SUCCESS FACTORS</t>
        </is>
      </c>
    </row>
    <row r="23" ht="25" customHeight="1">
      <c r="A23" s="6" t="inlineStr">
        <is>
          <t>►  1. Deni Content &amp; Engagement</t>
        </is>
      </c>
      <c r="B23" s="78" t="inlineStr">
        <is>
          <t>Weekly social media posts, in-store appearances, YouTube content. Deni must be visible and authentic in the product ecosystem. This is non-delegable.</t>
        </is>
      </c>
    </row>
    <row r="24" ht="25" customHeight="1">
      <c r="A24" s="14" t="inlineStr">
        <is>
          <t>►  2. Super-Pharm In-Store Execution</t>
        </is>
      </c>
      <c r="B24" s="79" t="inlineStr">
        <is>
          <t>Prominent shelf space, sampling programs, trained staff, point-of-sale materials. SP must treat Turbo as strategic, not commodity. This requires board-level alignment.</t>
        </is>
      </c>
    </row>
    <row r="25" ht="25" customHeight="1">
      <c r="A25" s="6" t="inlineStr">
        <is>
          <t>►  3. Product Quality &amp; Consistency</t>
        </is>
      </c>
      <c r="B25" s="78" t="inlineStr">
        <is>
          <t>No shortcuts on taste, nutrition, or supply chain. A single bad batch destroys the premium brand. Raito must oversee supplier QA.</t>
        </is>
      </c>
    </row>
    <row r="26" ht="25" customHeight="1">
      <c r="A26" s="14" t="inlineStr">
        <is>
          <t>►  4. Distribution Velocity</t>
        </is>
      </c>
      <c r="B26" s="79" t="inlineStr">
        <is>
          <t>Launch in all 100+ SP stores within 60 days. Partial rollouts = failure. Deni momentum is time-limited. First-mover advantage expires quickly.</t>
        </is>
      </c>
    </row>
    <row r="27" ht="25" customHeight="1">
      <c r="A27" s="6" t="inlineStr">
        <is>
          <t>►  5. Consumer Retention Beyond Trial</t>
        </is>
      </c>
      <c r="B27" s="78" t="inlineStr">
        <is>
          <t>Acquisition is expensive. Repeat purchase rate must exceed 40% within 6 months. This requires a loyalty program or community ( potential Trio Coffee Parliament model for Turbo).</t>
        </is>
      </c>
    </row>
    <row r="29">
      <c r="A29" s="3" t="inlineStr">
        <is>
          <t>E. PORTFOLIO SYNERGY</t>
        </is>
      </c>
    </row>
    <row r="30" ht="30" customHeight="1">
      <c r="A30" s="15" t="inlineStr">
        <is>
          <t>►  Powder: The Trust Anchor</t>
        </is>
      </c>
      <c r="B30" s="73" t="inlineStr">
        <is>
          <t>24g protein, creatine, Maolac supply. Daily routine. Builds category authority and consumer trust in the Turbo brand. Commands premium ASP (₪149.90). High margin. Locks loyalty.</t>
        </is>
      </c>
    </row>
    <row r="31" ht="30" customHeight="1">
      <c r="A31" s="17" t="inlineStr">
        <is>
          <t>►  Bars: The Frequency Driver</t>
        </is>
      </c>
      <c r="B31" s="75" t="inlineStr">
        <is>
          <t>55–60g bars, 16–18g protein. On-the-go convenience. Impulse buys at checkout. Lower ASP than Powder but much higher velocity. Creates repeat basket and upsells to Powder.</t>
        </is>
      </c>
    </row>
    <row r="32" ht="30" customHeight="1">
      <c r="A32" s="15" t="inlineStr">
        <is>
          <t>►  Chocolate: The Acquisition Play</t>
        </is>
      </c>
      <c r="B32" s="73" t="inlineStr">
        <is>
          <t>38g, 10–12g protein, ≤150 cal. Non-traditional protein consumer. 'Indulgence first, nutrition second' positioning. Innovation signal. Optionality for mass-market expansion post-year-2.</t>
        </is>
      </c>
    </row>
  </sheetData>
  <mergeCells count="27">
    <mergeCell ref="A16:F16"/>
    <mergeCell ref="B7:F7"/>
    <mergeCell ref="B25:F25"/>
    <mergeCell ref="B31:F31"/>
    <mergeCell ref="B18:F18"/>
    <mergeCell ref="B27:F27"/>
    <mergeCell ref="A2:F2"/>
    <mergeCell ref="B12:F12"/>
    <mergeCell ref="B11:F11"/>
    <mergeCell ref="A22:F22"/>
    <mergeCell ref="B23:F23"/>
    <mergeCell ref="A4:F4"/>
    <mergeCell ref="B14:F14"/>
    <mergeCell ref="B8:F8"/>
    <mergeCell ref="B17:F17"/>
    <mergeCell ref="A29:F29"/>
    <mergeCell ref="B13:F13"/>
    <mergeCell ref="A10:F10"/>
    <mergeCell ref="B19:F19"/>
    <mergeCell ref="B30:F30"/>
    <mergeCell ref="B6:F6"/>
    <mergeCell ref="B24:F24"/>
    <mergeCell ref="B20:F20"/>
    <mergeCell ref="A1:F1"/>
    <mergeCell ref="B5:F5"/>
    <mergeCell ref="B32:F32"/>
    <mergeCell ref="B26:F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A86B"/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0" customWidth="1" min="4" max="4"/>
    <col width="20" customWidth="1" min="5" max="5"/>
  </cols>
  <sheetData>
    <row r="1" ht="28" customHeight="1">
      <c r="A1" s="1" t="inlineStr">
        <is>
          <t>TURBO x SUPER-PHARM — EXECUTIVE SUMMARY</t>
        </is>
      </c>
    </row>
    <row r="2">
      <c r="A2" s="2" t="inlineStr">
        <is>
          <t>3-year protein lifestyle platform with Deni Avdija. Exclusive at Super-Pharm. 7% royalty to Raito. Two scenarios presented below.</t>
        </is>
      </c>
    </row>
    <row r="4">
      <c r="A4" s="3" t="inlineStr">
        <is>
          <t>KEY METRICS AT A GLANCE</t>
        </is>
      </c>
    </row>
    <row r="5">
      <c r="A5" s="4" t="inlineStr">
        <is>
          <t>Metric</t>
        </is>
      </c>
      <c r="B5" s="5" t="inlineStr">
        <is>
          <t>Good Case</t>
        </is>
      </c>
      <c r="C5" s="5" t="inlineStr">
        <is>
          <t>Ideal Case</t>
        </is>
      </c>
      <c r="D5" s="5" t="inlineStr">
        <is>
          <t>Difference</t>
        </is>
      </c>
      <c r="E5" s="5" t="inlineStr">
        <is>
          <t>Key Insight</t>
        </is>
      </c>
    </row>
    <row r="6">
      <c r="A6" s="15" t="inlineStr">
        <is>
          <t>Year 1 B2C Retail (₪M)</t>
        </is>
      </c>
      <c r="B6" s="36">
        <f>Assumptions!B45</f>
        <v/>
      </c>
      <c r="C6" s="36">
        <f>Assumptions!B52</f>
        <v/>
      </c>
      <c r="D6" s="35">
        <f>C6-B6</f>
        <v/>
      </c>
      <c r="E6" s="58" t="inlineStr">
        <is>
          <t>Ideal = 32% higher initial penetration</t>
        </is>
      </c>
    </row>
    <row r="7">
      <c r="A7" s="17" t="inlineStr">
        <is>
          <t>Year 3 B2C Retail (₪M)</t>
        </is>
      </c>
      <c r="B7" s="38">
        <f>Assumptions!D45</f>
        <v/>
      </c>
      <c r="C7" s="38">
        <f>Assumptions!D52</f>
        <v/>
      </c>
      <c r="D7" s="37">
        <f>C7-B7</f>
        <v/>
      </c>
      <c r="E7" s="63" t="inlineStr">
        <is>
          <t>Ideal = 35% higher mature state</t>
        </is>
      </c>
    </row>
    <row r="9">
      <c r="A9" s="3" t="inlineStr">
        <is>
          <t>RAITO ROYALTY REVENUE (7%)</t>
        </is>
      </c>
    </row>
    <row r="10">
      <c r="A10" s="4" t="inlineStr">
        <is>
          <t>Metric</t>
        </is>
      </c>
      <c r="B10" s="5" t="inlineStr">
        <is>
          <t>Good Case</t>
        </is>
      </c>
      <c r="C10" s="5" t="inlineStr">
        <is>
          <t>Ideal Case</t>
        </is>
      </c>
      <c r="D10" s="5" t="inlineStr">
        <is>
          <t>Unit</t>
        </is>
      </c>
      <c r="E10" s="5" t="inlineStr">
        <is>
          <t>Commentary</t>
        </is>
      </c>
    </row>
    <row r="11">
      <c r="A11" s="8" t="inlineStr">
        <is>
          <t>Year 1 Royalty</t>
        </is>
      </c>
      <c r="B11" s="41">
        <f>Assumptions!B45*Assumptions!$B$25</f>
        <v/>
      </c>
      <c r="C11" s="41">
        <f>Assumptions!B52*Assumptions!$B$25</f>
        <v/>
      </c>
      <c r="D11" s="9" t="inlineStr">
        <is>
          <t>₪</t>
        </is>
      </c>
      <c r="E11" s="7" t="inlineStr">
        <is>
          <t>Launch year royalty</t>
        </is>
      </c>
    </row>
    <row r="12">
      <c r="A12" s="10" t="inlineStr">
        <is>
          <t>Year 3 Royalty</t>
        </is>
      </c>
      <c r="B12" s="44">
        <f>Assumptions!D45*Assumptions!$B$25</f>
        <v/>
      </c>
      <c r="C12" s="44">
        <f>Assumptions!D52*Assumptions!$B$25</f>
        <v/>
      </c>
      <c r="D12" s="13" t="inlineStr">
        <is>
          <t>₪</t>
        </is>
      </c>
      <c r="E12" s="11" t="inlineStr">
        <is>
          <t>Mature year royalty</t>
        </is>
      </c>
    </row>
    <row r="13">
      <c r="A13" s="19" t="inlineStr">
        <is>
          <t>3-Year Cumulative Royalty</t>
        </is>
      </c>
      <c r="B13" s="47">
        <f>(Assumptions!B45+Assumptions!C45+Assumptions!D45)*Assumptions!$B$25</f>
        <v/>
      </c>
      <c r="C13" s="47">
        <f>(Assumptions!B52+Assumptions!C52+Assumptions!D52)*Assumptions!$B$25</f>
        <v/>
      </c>
      <c r="D13" s="80" t="inlineStr">
        <is>
          <t>₪</t>
        </is>
      </c>
      <c r="E13" s="81" t="inlineStr">
        <is>
          <t>Platform lifetime royalty</t>
        </is>
      </c>
    </row>
    <row r="16">
      <c r="A16" s="3" t="inlineStr">
        <is>
          <t>PLATFORM POSITIONING</t>
        </is>
      </c>
    </row>
    <row r="17" ht="25" customHeight="1">
      <c r="A17" s="30" t="inlineStr">
        <is>
          <t>►  WHAT IT IS</t>
        </is>
      </c>
      <c r="B17" s="69" t="inlineStr">
        <is>
          <t>Not a single-product launch. A complete protein lifestyle ecosystem with 9–18 SKUs across three consumption moments. Deni Avdija is the brand anchor.</t>
        </is>
      </c>
    </row>
    <row r="18" ht="25" customHeight="1">
      <c r="A18" s="31" t="inlineStr">
        <is>
          <t>►  WHY IT WORKS</t>
        </is>
      </c>
      <c r="B18" s="71" t="inlineStr">
        <is>
          <t>Exclusivity + premium positioning + celebrity pull + synergistic portfolio. Powder builds trust, Bars drive frequency, Chocolate drives trial. Each strengthens the others.</t>
        </is>
      </c>
    </row>
    <row r="19" ht="25" customHeight="1">
      <c r="A19" s="30" t="inlineStr">
        <is>
          <t>►  PARTNERSHIP FOCUS</t>
        </is>
      </c>
      <c r="B19" s="69" t="inlineStr">
        <is>
          <t>Super-Pharm is not a retailer — it's a co-owner. Raito earns 7% of B2C sales. SP benefits from exclusive category lock-in and Deni's brand pull. Win-win.</t>
        </is>
      </c>
    </row>
    <row r="20" ht="25" customHeight="1">
      <c r="A20" s="31" t="inlineStr">
        <is>
          <t>►  SUCCESS DEPENDS ON</t>
        </is>
      </c>
      <c r="B20" s="71" t="inlineStr">
        <is>
          <t>Deni's authentic engagement, SP's in-store execution, product quality, and rapid distribution velocity. All four must align for Ideal Case to materialize.</t>
        </is>
      </c>
    </row>
    <row r="22" ht="40" customHeight="1">
      <c r="A22" s="82" t="inlineStr">
        <is>
          <t>BOTTOM LINE: We're not building a licensing deal. We're building the first Turbo platform in Israel with Super-Pharm as strategic co-owner. Deni drives demand. Exclusive distribution creates defensibility. 7% royalty scales with retail growth.</t>
        </is>
      </c>
    </row>
  </sheetData>
  <mergeCells count="10">
    <mergeCell ref="A2:F2"/>
    <mergeCell ref="A16:F16"/>
    <mergeCell ref="B20:F20"/>
    <mergeCell ref="A1:F1"/>
    <mergeCell ref="A9:F9"/>
    <mergeCell ref="B19:F19"/>
    <mergeCell ref="A22:F22"/>
    <mergeCell ref="A4:F4"/>
    <mergeCell ref="B17:F17"/>
    <mergeCell ref="B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2026-03-25T17:36:28Z</dcterms:created>
  <dcterms:modified xmlns:dcterms="http://purl.org/dc/terms/" xmlns:xsi="http://www.w3.org/2001/XMLSchema-instance" xsi:type="dcterms:W3CDTF">2026-03-25T17:36:28Z</dcterms:modified>
</cp:coreProperties>
</file>