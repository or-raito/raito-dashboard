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in-Max Model" sheetId="2" state="visible" r:id="rId4"/>
    <sheet name="Phase-In May" sheetId="3" state="visible" r:id="rId5"/>
    <sheet name="Pistachio 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<sst xmlns="http://schemas.openxmlformats.org/spreadsheetml/2006/main" count="219" uniqueCount="172">
  <si>
    <t xml:space="preserve">RAITO × VANIGLIA — MIN/MAX PALLET MODEL</t>
  </si>
  <si>
    <t xml:space="preserve">1 pallet = 2,400 units  |  Batch size = 1 pallet  |  All stock figures in PALLETS  |  Data: April 19, 2026</t>
  </si>
  <si>
    <t xml:space="preserve">CURRENT INVENTORY — PALLETS (April 19, 2026)</t>
  </si>
  <si>
    <t xml:space="preserve">Flavor</t>
  </si>
  <si>
    <t xml:space="preserve">Karfree
(pallets)</t>
  </si>
  <si>
    <t xml:space="preserve">Icedream
(pallets)</t>
  </si>
  <si>
    <t xml:space="preserve">Ma'ayan
(pallets)</t>
  </si>
  <si>
    <t xml:space="preserve">TOTAL
(pallets)</t>
  </si>
  <si>
    <t xml:space="preserve">MIN
(pallets)</t>
  </si>
  <si>
    <t xml:space="preserve">MAX
(pallets)</t>
  </si>
  <si>
    <t xml:space="preserve">vs Min
(pallets)</t>
  </si>
  <si>
    <t xml:space="preserve">Status</t>
  </si>
  <si>
    <t xml:space="preserve">Vanilla</t>
  </si>
  <si>
    <t xml:space="preserve">🟢 OK</t>
  </si>
  <si>
    <t xml:space="preserve">Chocolate</t>
  </si>
  <si>
    <t xml:space="preserve">🟡 NEAR MIN</t>
  </si>
  <si>
    <t xml:space="preserve">Mango</t>
  </si>
  <si>
    <t xml:space="preserve">Pistachio</t>
  </si>
  <si>
    <t xml:space="preserve">TOTAL</t>
  </si>
  <si>
    <t xml:space="preserve">LEGEND</t>
  </si>
  <si>
    <t xml:space="preserve">Stock ≥ Min×1.2</t>
  </si>
  <si>
    <t xml:space="preserve">Min ≤ Stock &lt; Min×1.2</t>
  </si>
  <si>
    <t xml:space="preserve">🔴 BELOW MIN</t>
  </si>
  <si>
    <t xml:space="preserve">Stock &lt; Min — order NOW</t>
  </si>
  <si>
    <t xml:space="preserve">Units per pallet: 2,400  |  Min/Max levels in whole pallets  |  Stock shown with 1 decimal for precision</t>
  </si>
  <si>
    <t xml:space="preserve">MIN/MAX MODEL — ALL FIGURES IN PALLETS</t>
  </si>
  <si>
    <t xml:space="preserve">1 pallet = 2,400 units  |  Blue = adjustable input  |  Yellow = input cell  |  Black = formula</t>
  </si>
  <si>
    <t xml:space="preserve">GLOBAL PARAMETERS</t>
  </si>
  <si>
    <t xml:space="preserve">Pallet size (units)</t>
  </si>
  <si>
    <t xml:space="preserve">1 pallet = 2,600 units. All model outputs in pallets.</t>
  </si>
  <si>
    <t xml:space="preserve">Standard lead time (weeks)</t>
  </si>
  <si>
    <t xml:space="preserve">Vanilla / Chocolate / Mango: 1 week order-to-delivery</t>
  </si>
  <si>
    <t xml:space="preserve">Pistachio lead time (weeks)</t>
  </si>
  <si>
    <t xml:space="preserve">Raw material must be pre-ordered — 2-week total lead time</t>
  </si>
  <si>
    <t xml:space="preserve">Safety stock — standard (weeks)</t>
  </si>
  <si>
    <t xml:space="preserve">Weeks of demand held as safety buffer (std flavors)</t>
  </si>
  <si>
    <t xml:space="preserve">Safety stock — pistachio (weeks)</t>
  </si>
  <si>
    <t xml:space="preserve">Double safety stock for pistachio due to extended LT risk</t>
  </si>
  <si>
    <t xml:space="preserve">OQ coverage (weeks)</t>
  </si>
  <si>
    <t xml:space="preserve">Each production run covers this many weeks of demand</t>
  </si>
  <si>
    <t xml:space="preserve">MAY 2026 WEEKLY DEMAND</t>
  </si>
  <si>
    <t xml:space="preserve">Units/wk
(actual)</t>
  </si>
  <si>
    <t xml:space="preserve">NBA/Summer
Uplift</t>
  </si>
  <si>
    <t xml:space="preserve">New Cust.
Uplift</t>
  </si>
  <si>
    <t xml:space="preserve">May Units/wk
(forecast)</t>
  </si>
  <si>
    <t xml:space="preserve">May Pallets/wk
(÷2,600)</t>
  </si>
  <si>
    <t xml:space="preserve">Monthly
(pallets)</t>
  </si>
  <si>
    <t xml:space="preserve">Derivation</t>
  </si>
  <si>
    <t xml:space="preserve">Karfree depletion 9,030u / 3.7wks = 2,441/wk → scaled for combined Icedream+Ma'ayan flow</t>
  </si>
  <si>
    <t xml:space="preserve">Karfree depletion 7,200u / 3.7wks = 1,946/wk → scaled for combined flow</t>
  </si>
  <si>
    <t xml:space="preserve">Karfree depletion 4,800u / 3.7wks = 1,297/wk → scaled. Steady seller.</t>
  </si>
  <si>
    <t xml:space="preserve">Derived from Ma'ayan stock burn Apr12-15 (1,700u/3d) + Icedream W15 (360u). Growing fast.</t>
  </si>
  <si>
    <t xml:space="preserve">MIN/MAX TABLE — PALLETS</t>
  </si>
  <si>
    <t xml:space="preserve">Lead
Time (wks)</t>
  </si>
  <si>
    <t xml:space="preserve">Safety Stock
(pallets)</t>
  </si>
  <si>
    <t xml:space="preserve">LT Demand
(pallets)</t>
  </si>
  <si>
    <t xml:space="preserve">MIN
▲ pallets</t>
  </si>
  <si>
    <t xml:space="preserve">Order Qty
(pallets)</t>
  </si>
  <si>
    <t xml:space="preserve">MAX
▼ pallets</t>
  </si>
  <si>
    <t xml:space="preserve">Units @ Min
(reference)</t>
  </si>
  <si>
    <t xml:space="preserve">Units @ Max
(reference)</t>
  </si>
  <si>
    <t xml:space="preserve">Notes</t>
  </si>
  <si>
    <t xml:space="preserve">1-wk LT | Spring + NBA uplift</t>
  </si>
  <si>
    <t xml:space="preserve">1-wk LT | Broad channel coverage</t>
  </si>
  <si>
    <t xml:space="preserve">1-wk LT | Steadiest velocity; large buffer</t>
  </si>
  <si>
    <t xml:space="preserve">⚠️ 2-wk LT — pre-order raw materials on rolling cadence</t>
  </si>
  <si>
    <t xml:space="preserve">FORMULA LOGIC</t>
  </si>
  <si>
    <t xml:space="preserve">Pallets/week</t>
  </si>
  <si>
    <t xml:space="preserve">Units/week  ÷  Pallet Size (2,600)</t>
  </si>
  <si>
    <t xml:space="preserve">Safety Stock</t>
  </si>
  <si>
    <t xml:space="preserve">CEILING( Pallets/wk  ×  SS Multiplier ,  1 )  — rounds up to whole pallets</t>
  </si>
  <si>
    <t xml:space="preserve">LT Demand</t>
  </si>
  <si>
    <t xml:space="preserve">CEILING( Pallets/wk  ×  Lead Time weeks ,  1 )  — rounds up to whole pallets</t>
  </si>
  <si>
    <t xml:space="preserve">MIN (ROP)</t>
  </si>
  <si>
    <t xml:space="preserve">Safety Stock + LT Demand  ← HARD FLOOR — trigger production when pallets hit this level</t>
  </si>
  <si>
    <t xml:space="preserve">Order Qty</t>
  </si>
  <si>
    <t xml:space="preserve">CEILING( Pallets/wk  ×  OQ Coverage (1.5wks) ,  1 )  — whole pallets per production run</t>
  </si>
  <si>
    <t xml:space="preserve">MAX</t>
  </si>
  <si>
    <t xml:space="preserve">MIN + Order Qty  ← stock target after receiving a production run</t>
  </si>
  <si>
    <t xml:space="preserve">TRANSITION PHASE-IN — MAY 2026 (PALLETS)</t>
  </si>
  <si>
    <t xml:space="preserve">When does each flavor hit its Min pallet level, and when must Vaniglia produce?</t>
  </si>
  <si>
    <t xml:space="preserve">STEP 1 — CURRENT STOCK IN PALLETS (April 19, 2026)</t>
  </si>
  <si>
    <t xml:space="preserve">Karfree</t>
  </si>
  <si>
    <t xml:space="preserve">Icedream</t>
  </si>
  <si>
    <t xml:space="preserve">Ma'ayan</t>
  </si>
  <si>
    <t xml:space="preserve">Source</t>
  </si>
  <si>
    <t xml:space="preserve">Karfree PDF 19/4; Ice 16/4; Ma'ayan 15/4</t>
  </si>
  <si>
    <t xml:space="preserve">STEP 2 — FIRST PRODUCTION TRIGGER (May 2026)</t>
  </si>
  <si>
    <t xml:space="preserve">12 days remain until May 1. Stock depletes at May demand rate during this period.</t>
  </si>
  <si>
    <t xml:space="preserve">Stock
Apr 19
(pallets)</t>
  </si>
  <si>
    <t xml:space="preserve">Demand
(pallets/wk)</t>
  </si>
  <si>
    <t xml:space="preserve">Days to
May 1</t>
  </si>
  <si>
    <t xml:space="preserve">Est. Stock
May 1
(pallets)</t>
  </si>
  <si>
    <t xml:space="preserve">Buffer
vs Min
(pallets)</t>
  </si>
  <si>
    <t xml:space="preserve">Weeks to
Hit Min</t>
  </si>
  <si>
    <t xml:space="preserve">First ROP
Date</t>
  </si>
  <si>
    <t xml:space="preserve">First
Delivery</t>
  </si>
  <si>
    <t xml:space="preserve">LT
(wks)</t>
  </si>
  <si>
    <t xml:space="preserve">Priority</t>
  </si>
  <si>
    <t xml:space="preserve">03-May-26</t>
  </si>
  <si>
    <t xml:space="preserve">10-May-26</t>
  </si>
  <si>
    <t xml:space="preserve">🟡 WEEK 1</t>
  </si>
  <si>
    <t xml:space="preserve">01-May-26</t>
  </si>
  <si>
    <t xml:space="preserve">08-May-26</t>
  </si>
  <si>
    <t xml:space="preserve">🔴 ORDER NOW</t>
  </si>
  <si>
    <t xml:space="preserve">23-Jun-26</t>
  </si>
  <si>
    <t xml:space="preserve">30-Jun-26</t>
  </si>
  <si>
    <t xml:space="preserve">🟢 SCHEDULED</t>
  </si>
  <si>
    <t xml:space="preserve">15-May-26</t>
  </si>
  <si>
    <t xml:space="preserve">STEP 3 — RECOMMENDED PRE-TRANSITION ACTIONS</t>
  </si>
  <si>
    <t xml:space="preserve">When</t>
  </si>
  <si>
    <t xml:space="preserve">Pallets</t>
  </si>
  <si>
    <t xml:space="preserve">Action</t>
  </si>
  <si>
    <t xml:space="preserve">TODAY — Apr 19</t>
  </si>
  <si>
    <t xml:space="preserve">🔴 Chocolate</t>
  </si>
  <si>
    <t xml:space="preserve">3 pallets</t>
  </si>
  <si>
    <t xml:space="preserve">Stock 4.2p vs Min 4p. TRIGGER production NOW. 1-wk LT → receive ~Apr 26. Order 2-3 pallets.</t>
  </si>
  <si>
    <t xml:space="preserve">🔴 Pistachio</t>
  </si>
  <si>
    <t xml:space="preserve">2 pallets</t>
  </si>
  <si>
    <t xml:space="preserve">Place raw material order TODAY. 2-wk LT → earliest delivery May 3. Buffer exists (5.4p vs 4p Min) but closing.</t>
  </si>
  <si>
    <t xml:space="preserve">Apr 28</t>
  </si>
  <si>
    <t xml:space="preserve">🟡 Vanilla</t>
  </si>
  <si>
    <t xml:space="preserve">Est. May 1 stock ~4.0p vs Min 4p — no buffer. Order by Apr 28 for May 5 delivery.</t>
  </si>
  <si>
    <t xml:space="preserve">May 15</t>
  </si>
  <si>
    <t xml:space="preserve">🟢 Mango</t>
  </si>
  <si>
    <t xml:space="preserve">Est. May 1 stock ~7.4p vs Min 2p — 5+ weeks buffer. Monitor weekly.</t>
  </si>
  <si>
    <t xml:space="preserve">PISTACHIO — SENSITIVITY ANALYSIS (PALLETS)</t>
  </si>
  <si>
    <t xml:space="preserve">Impact of demand surge on Min/Max pallet levels and stockout risk</t>
  </si>
  <si>
    <t xml:space="preserve">SCENARIO TABLE</t>
  </si>
  <si>
    <t xml:space="preserve">Scenario</t>
  </si>
  <si>
    <t xml:space="preserve">Surge</t>
  </si>
  <si>
    <t xml:space="preserve">Pallets/wk</t>
  </si>
  <si>
    <t xml:space="preserve">SS (pallets)</t>
  </si>
  <si>
    <t xml:space="preserve">MIN (pallets)</t>
  </si>
  <si>
    <t xml:space="preserve">OQ (pallets)</t>
  </si>
  <si>
    <t xml:space="preserve">MAX (pallets)</t>
  </si>
  <si>
    <t xml:space="preserve">Base Case</t>
  </si>
  <si>
    <t xml:space="preserve">+10%</t>
  </si>
  <si>
    <t xml:space="preserve">+20% Surge</t>
  </si>
  <si>
    <t xml:space="preserve">+30% Surge</t>
  </si>
  <si>
    <t xml:space="preserve">8-WEEK STOCKOUT SIMULATION — +20% SURGE</t>
  </si>
  <si>
    <t xml:space="preserve">Week</t>
  </si>
  <si>
    <t xml:space="preserve">Opening
(pallets)</t>
  </si>
  <si>
    <t xml:space="preserve">Demand
(pallets)</t>
  </si>
  <si>
    <t xml:space="preserve">Closing
(pallets)</t>
  </si>
  <si>
    <t xml:space="preserve">Trigger?</t>
  </si>
  <si>
    <t xml:space="preserve">Production
Arriving</t>
  </si>
  <si>
    <t xml:space="preserve">After
Receipt</t>
  </si>
  <si>
    <t xml:space="preserve">Wk 1</t>
  </si>
  <si>
    <t xml:space="preserve">▶ ORDER</t>
  </si>
  <si>
    <t xml:space="preserve">Wk 2</t>
  </si>
  <si>
    <t xml:space="preserve">Wk 3</t>
  </si>
  <si>
    <t xml:space="preserve">Wk 4</t>
  </si>
  <si>
    <t xml:space="preserve">Wk 5</t>
  </si>
  <si>
    <t xml:space="preserve">Wk 6</t>
  </si>
  <si>
    <t xml:space="preserve">Wk 7</t>
  </si>
  <si>
    <t xml:space="preserve">Wk 8</t>
  </si>
  <si>
    <t xml:space="preserve">PISTACHIO RECOMMENDATIONS</t>
  </si>
  <si>
    <t xml:space="preserve">Topic</t>
  </si>
  <si>
    <t xml:space="preserve">Rationale</t>
  </si>
  <si>
    <t xml:space="preserve">Permanent setting</t>
  </si>
  <si>
    <t xml:space="preserve">Raise Min to 6 pallets</t>
  </si>
  <si>
    <t xml:space="preserve">Absorbs +20% surge without model recalibration. Extra 2 pallets of buffer.</t>
  </si>
  <si>
    <t xml:space="preserve">Standing raw-material order</t>
  </si>
  <si>
    <t xml:space="preserve">Bi-weekly regardless of stock</t>
  </si>
  <si>
    <t xml:space="preserve">Eliminates the 2-wk reaction lag. Do not wait for Min trigger for raw materials.</t>
  </si>
  <si>
    <t xml:space="preserve">Soft alert</t>
  </si>
  <si>
    <t xml:space="preserve">Alert at 8 pallets</t>
  </si>
  <si>
    <t xml:space="preserve">When pistachio drops below 8p, pre-place raw material order. Gives ~1-wk early warning.</t>
  </si>
  <si>
    <t xml:space="preserve">NBA Finals protocol</t>
  </si>
  <si>
    <t xml:space="preserve">If Deni reaches Finals</t>
  </si>
  <si>
    <t xml:space="preserve">Immediately produce +1 pallet (2,600u) emergency run as soon as series confirmed.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</si>
</sst>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"/>
    <numFmt numFmtId="167" formatCode="#,##0"/>
    <numFmt numFmtId="168" formatCode="0%"/>
    <numFmt numFmtId="169" formatCode="0.00"/>
    <numFmt numFmtId="170" formatCode="0.1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FF8C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9"/>
      <color rgb="FFC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CE6F1"/>
        <bgColor rgb="FFD6E4F0"/>
      </patternFill>
    </fill>
    <fill>
      <patternFill patternType="solid">
        <fgColor rgb="FFE2EFDA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F2CC"/>
        <bgColor rgb="FFFCE4D6"/>
      </patternFill>
    </fill>
    <fill>
      <patternFill patternType="solid">
        <fgColor rgb="FFEBF1DE"/>
        <bgColor rgb="FFE2EFDA"/>
      </patternFill>
    </fill>
    <fill>
      <patternFill patternType="solid">
        <fgColor rgb="FFD6E4F0"/>
        <bgColor rgb="FFDCE6F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1DE"/>
      <rgbColor rgb="FFE2EFDA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8C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5" min="2" style="0" width="11"/>
    <col collapsed="false" customWidth="true" hidden="false" outlineLevel="0" max="8" min="6" style="0" width="10"/>
    <col collapsed="false" customWidth="true" hidden="false" outlineLevel="0" max="9" min="9" style="0" width="13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19.5" hidden="false" customHeight="true" outlineLevel="0" collapsed="false">
      <c r="A6" s="5" t="s">
        <v>12</v>
      </c>
      <c r="B6" s="6" t="n">
        <v>6</v>
      </c>
      <c r="C6" s="6" t="n">
        <v>0.5</v>
      </c>
      <c r="D6" s="6" t="n">
        <v>0.6</v>
      </c>
      <c r="E6" s="7" t="n">
        <v>7.1</v>
      </c>
      <c r="F6" s="8" t="n">
        <v>4</v>
      </c>
      <c r="G6" s="8" t="n">
        <v>7</v>
      </c>
      <c r="H6" s="9" t="n">
        <v>3.1</v>
      </c>
      <c r="I6" s="10" t="s">
        <v>13</v>
      </c>
    </row>
    <row r="7" customFormat="false" ht="19.5" hidden="false" customHeight="true" outlineLevel="0" collapsed="false">
      <c r="A7" s="11" t="s">
        <v>14</v>
      </c>
      <c r="B7" s="12" t="n">
        <v>3</v>
      </c>
      <c r="C7" s="12" t="n">
        <v>0.5</v>
      </c>
      <c r="D7" s="12" t="n">
        <v>1</v>
      </c>
      <c r="E7" s="7" t="n">
        <v>4.5</v>
      </c>
      <c r="F7" s="8" t="n">
        <v>4</v>
      </c>
      <c r="G7" s="8" t="n">
        <v>6</v>
      </c>
      <c r="H7" s="9" t="n">
        <v>0.5</v>
      </c>
      <c r="I7" s="13" t="s">
        <v>15</v>
      </c>
    </row>
    <row r="8" customFormat="false" ht="19.5" hidden="false" customHeight="true" outlineLevel="0" collapsed="false">
      <c r="A8" s="14" t="s">
        <v>16</v>
      </c>
      <c r="B8" s="15" t="n">
        <v>9</v>
      </c>
      <c r="C8" s="15" t="n">
        <v>0.2</v>
      </c>
      <c r="D8" s="15" t="n">
        <v>0.3</v>
      </c>
      <c r="E8" s="7" t="n">
        <v>9.5</v>
      </c>
      <c r="F8" s="8" t="n">
        <v>2</v>
      </c>
      <c r="G8" s="8" t="n">
        <v>4</v>
      </c>
      <c r="H8" s="9" t="n">
        <v>7.5</v>
      </c>
      <c r="I8" s="10" t="s">
        <v>13</v>
      </c>
    </row>
    <row r="9" customFormat="false" ht="19.5" hidden="false" customHeight="true" outlineLevel="0" collapsed="false">
      <c r="A9" s="16" t="s">
        <v>17</v>
      </c>
      <c r="B9" s="17" t="n">
        <v>3.9</v>
      </c>
      <c r="C9" s="17" t="n">
        <v>0.6</v>
      </c>
      <c r="D9" s="17" t="n">
        <v>1.4</v>
      </c>
      <c r="E9" s="7" t="n">
        <v>5.8</v>
      </c>
      <c r="F9" s="8" t="n">
        <v>4</v>
      </c>
      <c r="G9" s="8" t="n">
        <v>6</v>
      </c>
      <c r="H9" s="9" t="n">
        <v>1.8</v>
      </c>
      <c r="I9" s="10" t="s">
        <v>13</v>
      </c>
    </row>
    <row r="10" customFormat="false" ht="19.5" hidden="false" customHeight="true" outlineLevel="0" collapsed="false">
      <c r="A10" s="18" t="s">
        <v>18</v>
      </c>
      <c r="B10" s="19" t="n">
        <v>21.9</v>
      </c>
      <c r="C10" s="19" t="n">
        <v>1.8</v>
      </c>
      <c r="D10" s="19" t="n">
        <v>3.3</v>
      </c>
      <c r="E10" s="19" t="n">
        <v>26.9</v>
      </c>
      <c r="F10" s="20"/>
      <c r="G10" s="20"/>
      <c r="H10" s="20"/>
      <c r="I10" s="20"/>
    </row>
    <row r="12" customFormat="false" ht="15" hidden="false" customHeight="false" outlineLevel="0" collapsed="false">
      <c r="A12" s="21" t="s">
        <v>19</v>
      </c>
      <c r="B12" s="21"/>
      <c r="C12" s="21"/>
    </row>
    <row r="13" customFormat="false" ht="15" hidden="false" customHeight="false" outlineLevel="0" collapsed="false">
      <c r="A13" s="22" t="s">
        <v>13</v>
      </c>
      <c r="B13" s="23" t="s">
        <v>20</v>
      </c>
      <c r="C13" s="22" t="s">
        <v>15</v>
      </c>
      <c r="D13" s="23" t="s">
        <v>21</v>
      </c>
      <c r="E13" s="22" t="s">
        <v>22</v>
      </c>
      <c r="F13" s="23" t="s">
        <v>23</v>
      </c>
    </row>
    <row r="15" customFormat="false" ht="15" hidden="false" customHeight="false" outlineLevel="0" collapsed="false">
      <c r="A15" s="24" t="s">
        <v>24</v>
      </c>
      <c r="B15" s="24"/>
      <c r="C15" s="24"/>
      <c r="D15" s="24"/>
      <c r="E15" s="24"/>
      <c r="F15" s="24"/>
      <c r="G15" s="24"/>
      <c r="H15" s="24"/>
      <c r="I15" s="24"/>
    </row>
  </sheetData>
  <mergeCells count="5">
    <mergeCell ref="A1:I1"/>
    <mergeCell ref="A2:I2"/>
    <mergeCell ref="A4:I4"/>
    <mergeCell ref="A12:C12"/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4" min="3" style="0" width="11"/>
    <col collapsed="false" customWidth="true" hidden="false" outlineLevel="0" max="7" min="5" style="0" width="10"/>
    <col collapsed="false" customWidth="true" hidden="false" outlineLevel="0" max="9" min="8" style="0" width="13"/>
    <col collapsed="false" customWidth="true" hidden="false" outlineLevel="0" max="10" min="10" style="0" width="32"/>
  </cols>
  <sheetData>
    <row r="1" customFormat="false" ht="36" hidden="false" customHeight="true" outlineLevel="0" collapsed="false">
      <c r="A1" s="25" t="s">
        <v>25</v>
      </c>
      <c r="B1" s="25"/>
      <c r="C1" s="25"/>
      <c r="D1" s="25"/>
      <c r="E1" s="25"/>
      <c r="F1" s="25"/>
      <c r="G1" s="25"/>
      <c r="H1" s="25"/>
      <c r="I1" s="25"/>
      <c r="J1" s="25"/>
    </row>
    <row r="2" customFormat="false" ht="15.75" hidden="false" customHeight="true" outlineLevel="0" collapsed="false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26" t="s">
        <v>27</v>
      </c>
      <c r="B4" s="26"/>
      <c r="C4" s="26"/>
      <c r="D4" s="26"/>
      <c r="E4" s="20"/>
      <c r="F4" s="20"/>
      <c r="G4" s="20"/>
      <c r="H4" s="20"/>
      <c r="I4" s="20"/>
      <c r="J4" s="20"/>
    </row>
    <row r="5" customFormat="false" ht="18" hidden="false" customHeight="true" outlineLevel="0" collapsed="false">
      <c r="A5" s="11" t="s">
        <v>28</v>
      </c>
      <c r="B5" s="11"/>
      <c r="C5" s="27" t="n">
        <v>2400</v>
      </c>
      <c r="D5" s="28" t="s">
        <v>29</v>
      </c>
      <c r="E5" s="28"/>
      <c r="F5" s="28"/>
      <c r="G5" s="28"/>
      <c r="H5" s="28"/>
      <c r="I5" s="28"/>
      <c r="J5" s="28"/>
    </row>
    <row r="6" customFormat="false" ht="18" hidden="false" customHeight="true" outlineLevel="0" collapsed="false">
      <c r="A6" s="11" t="s">
        <v>30</v>
      </c>
      <c r="B6" s="11"/>
      <c r="C6" s="29" t="n">
        <v>1</v>
      </c>
      <c r="D6" s="28" t="s">
        <v>31</v>
      </c>
      <c r="E6" s="28"/>
      <c r="F6" s="28"/>
      <c r="G6" s="28"/>
      <c r="H6" s="28"/>
      <c r="I6" s="28"/>
      <c r="J6" s="28"/>
    </row>
    <row r="7" customFormat="false" ht="18" hidden="false" customHeight="true" outlineLevel="0" collapsed="false">
      <c r="A7" s="11" t="s">
        <v>32</v>
      </c>
      <c r="B7" s="11"/>
      <c r="C7" s="29" t="n">
        <v>2</v>
      </c>
      <c r="D7" s="28" t="s">
        <v>33</v>
      </c>
      <c r="E7" s="28"/>
      <c r="F7" s="28"/>
      <c r="G7" s="28"/>
      <c r="H7" s="28"/>
      <c r="I7" s="28"/>
      <c r="J7" s="28"/>
    </row>
    <row r="8" customFormat="false" ht="18" hidden="false" customHeight="true" outlineLevel="0" collapsed="false">
      <c r="A8" s="11" t="s">
        <v>34</v>
      </c>
      <c r="B8" s="11"/>
      <c r="C8" s="29" t="n">
        <v>1</v>
      </c>
      <c r="D8" s="28" t="s">
        <v>35</v>
      </c>
      <c r="E8" s="28"/>
      <c r="F8" s="28"/>
      <c r="G8" s="28"/>
      <c r="H8" s="28"/>
      <c r="I8" s="28"/>
      <c r="J8" s="28"/>
    </row>
    <row r="9" customFormat="false" ht="18" hidden="false" customHeight="true" outlineLevel="0" collapsed="false">
      <c r="A9" s="11" t="s">
        <v>36</v>
      </c>
      <c r="B9" s="11"/>
      <c r="C9" s="29" t="n">
        <v>2</v>
      </c>
      <c r="D9" s="28" t="s">
        <v>37</v>
      </c>
      <c r="E9" s="28"/>
      <c r="F9" s="28"/>
      <c r="G9" s="28"/>
      <c r="H9" s="28"/>
      <c r="I9" s="28"/>
      <c r="J9" s="28"/>
    </row>
    <row r="10" customFormat="false" ht="18" hidden="false" customHeight="true" outlineLevel="0" collapsed="false">
      <c r="A10" s="11" t="s">
        <v>38</v>
      </c>
      <c r="B10" s="11"/>
      <c r="C10" s="30" t="n">
        <v>1.5</v>
      </c>
      <c r="D10" s="28" t="s">
        <v>39</v>
      </c>
      <c r="E10" s="28"/>
      <c r="F10" s="28"/>
      <c r="G10" s="28"/>
      <c r="H10" s="28"/>
      <c r="I10" s="28"/>
      <c r="J10" s="28"/>
    </row>
    <row r="12" customFormat="false" ht="21.75" hidden="false" customHeight="true" outlineLevel="0" collapsed="false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</row>
    <row r="13" customFormat="false" ht="34.5" hidden="false" customHeight="true" outlineLevel="0" collapsed="false">
      <c r="A13" s="4" t="s">
        <v>3</v>
      </c>
      <c r="B13" s="4" t="s">
        <v>41</v>
      </c>
      <c r="C13" s="4" t="s">
        <v>42</v>
      </c>
      <c r="D13" s="4" t="s">
        <v>43</v>
      </c>
      <c r="E13" s="4" t="s">
        <v>44</v>
      </c>
      <c r="F13" s="4" t="s">
        <v>45</v>
      </c>
      <c r="G13" s="4" t="s">
        <v>46</v>
      </c>
      <c r="H13" s="4" t="s">
        <v>47</v>
      </c>
      <c r="I13" s="20"/>
      <c r="J13" s="20"/>
    </row>
    <row r="14" customFormat="false" ht="21.75" hidden="false" customHeight="true" outlineLevel="0" collapsed="false">
      <c r="A14" s="5" t="s">
        <v>12</v>
      </c>
      <c r="B14" s="27" t="n">
        <v>3000</v>
      </c>
      <c r="C14" s="31" t="n">
        <v>0.15</v>
      </c>
      <c r="D14" s="31" t="n">
        <v>0.1</v>
      </c>
      <c r="E14" s="32" t="n">
        <f aca="false">ROUND(B14*(1+C14+D14),0)</f>
        <v>3750</v>
      </c>
      <c r="F14" s="33" t="n">
        <f aca="false">ROUND(E14/C$5,2)</f>
        <v>1.56</v>
      </c>
      <c r="G14" s="34" t="n">
        <f aca="false">ROUND(F14*4.3,1)</f>
        <v>6.7</v>
      </c>
      <c r="H14" s="35" t="s">
        <v>48</v>
      </c>
      <c r="I14" s="35"/>
      <c r="J14" s="35"/>
    </row>
    <row r="15" customFormat="false" ht="21.75" hidden="false" customHeight="true" outlineLevel="0" collapsed="false">
      <c r="A15" s="11" t="s">
        <v>14</v>
      </c>
      <c r="B15" s="27" t="n">
        <v>2400</v>
      </c>
      <c r="C15" s="31" t="n">
        <v>0.15</v>
      </c>
      <c r="D15" s="31" t="n">
        <v>0.1</v>
      </c>
      <c r="E15" s="32" t="n">
        <f aca="false">ROUND(B15*(1+C15+D15),0)</f>
        <v>3000</v>
      </c>
      <c r="F15" s="33" t="n">
        <f aca="false">ROUND(E15/C$5,2)</f>
        <v>1.25</v>
      </c>
      <c r="G15" s="34" t="n">
        <f aca="false">ROUND(F15*4.3,1)</f>
        <v>5.4</v>
      </c>
      <c r="H15" s="36" t="s">
        <v>49</v>
      </c>
      <c r="I15" s="36"/>
      <c r="J15" s="36"/>
    </row>
    <row r="16" customFormat="false" ht="21.75" hidden="false" customHeight="true" outlineLevel="0" collapsed="false">
      <c r="A16" s="14" t="s">
        <v>16</v>
      </c>
      <c r="B16" s="27" t="n">
        <v>1600</v>
      </c>
      <c r="C16" s="31" t="n">
        <v>0.1</v>
      </c>
      <c r="D16" s="31" t="n">
        <v>0.1</v>
      </c>
      <c r="E16" s="32" t="n">
        <f aca="false">ROUND(B16*(1+C16+D16),0)</f>
        <v>1920</v>
      </c>
      <c r="F16" s="33" t="n">
        <f aca="false">ROUND(E16/C$5,2)</f>
        <v>0.8</v>
      </c>
      <c r="G16" s="34" t="n">
        <f aca="false">ROUND(F16*4.3,1)</f>
        <v>3.4</v>
      </c>
      <c r="H16" s="37" t="s">
        <v>50</v>
      </c>
      <c r="I16" s="37"/>
      <c r="J16" s="37"/>
    </row>
    <row r="17" customFormat="false" ht="21.75" hidden="false" customHeight="true" outlineLevel="0" collapsed="false">
      <c r="A17" s="16" t="s">
        <v>17</v>
      </c>
      <c r="B17" s="27" t="n">
        <v>2100</v>
      </c>
      <c r="C17" s="31" t="n">
        <v>0.2</v>
      </c>
      <c r="D17" s="31" t="n">
        <v>0.1</v>
      </c>
      <c r="E17" s="32" t="n">
        <f aca="false">ROUND(B17*(1+C17+D17),0)</f>
        <v>2730</v>
      </c>
      <c r="F17" s="33" t="n">
        <f aca="false">ROUND(E17/C$5,2)</f>
        <v>1.14</v>
      </c>
      <c r="G17" s="34" t="n">
        <f aca="false">ROUND(F17*4.3,1)</f>
        <v>4.9</v>
      </c>
      <c r="H17" s="38" t="s">
        <v>51</v>
      </c>
      <c r="I17" s="38"/>
      <c r="J17" s="38"/>
    </row>
    <row r="18" customFormat="false" ht="18" hidden="false" customHeight="true" outlineLevel="0" collapsed="false">
      <c r="A18" s="18" t="s">
        <v>18</v>
      </c>
      <c r="B18" s="20"/>
      <c r="C18" s="20"/>
      <c r="D18" s="20"/>
      <c r="E18" s="39" t="n">
        <f aca="false">SUM(E14:E17)</f>
        <v>11400</v>
      </c>
      <c r="F18" s="40" t="n">
        <f aca="false">SUM(F14:F17)</f>
        <v>4.75</v>
      </c>
      <c r="G18" s="19" t="n">
        <f aca="false">SUM(G14:G17)</f>
        <v>20.4</v>
      </c>
      <c r="H18" s="20"/>
      <c r="I18" s="20"/>
      <c r="J18" s="20"/>
    </row>
    <row r="20" customFormat="false" ht="21.75" hidden="false" customHeight="true" outlineLevel="0" collapsed="false">
      <c r="A20" s="3" t="s">
        <v>52</v>
      </c>
      <c r="B20" s="3"/>
      <c r="C20" s="3"/>
      <c r="D20" s="3"/>
      <c r="E20" s="3"/>
      <c r="F20" s="3"/>
      <c r="G20" s="3"/>
      <c r="H20" s="3"/>
      <c r="I20" s="3"/>
      <c r="J20" s="3"/>
    </row>
    <row r="21" customFormat="false" ht="39.75" hidden="false" customHeight="true" outlineLevel="0" collapsed="false">
      <c r="A21" s="4" t="s">
        <v>3</v>
      </c>
      <c r="B21" s="4" t="s">
        <v>53</v>
      </c>
      <c r="C21" s="4" t="s">
        <v>54</v>
      </c>
      <c r="D21" s="4" t="s">
        <v>55</v>
      </c>
      <c r="E21" s="4" t="s">
        <v>56</v>
      </c>
      <c r="F21" s="4" t="s">
        <v>57</v>
      </c>
      <c r="G21" s="4" t="s">
        <v>58</v>
      </c>
      <c r="H21" s="4" t="s">
        <v>59</v>
      </c>
      <c r="I21" s="4" t="s">
        <v>60</v>
      </c>
      <c r="J21" s="4" t="s">
        <v>61</v>
      </c>
    </row>
    <row r="22" customFormat="false" ht="21.75" hidden="false" customHeight="true" outlineLevel="0" collapsed="false">
      <c r="A22" s="5" t="s">
        <v>12</v>
      </c>
      <c r="B22" s="41" t="n">
        <f aca="false">C$6</f>
        <v>1</v>
      </c>
      <c r="C22" s="41" t="n">
        <f aca="false">CEILING(F14*C$8,1)</f>
        <v>2</v>
      </c>
      <c r="D22" s="41" t="n">
        <f aca="false">CEILING(F14*C$6,1)</f>
        <v>2</v>
      </c>
      <c r="E22" s="42" t="n">
        <f aca="false">C22+D22</f>
        <v>4</v>
      </c>
      <c r="F22" s="41" t="n">
        <f aca="false">CEILING(F14*C$10,1)</f>
        <v>3</v>
      </c>
      <c r="G22" s="42" t="n">
        <f aca="false">E22+F22</f>
        <v>7</v>
      </c>
      <c r="H22" s="43" t="n">
        <f aca="false">E22*C$5</f>
        <v>9600</v>
      </c>
      <c r="I22" s="43" t="n">
        <f aca="false">G22*C$5</f>
        <v>16800</v>
      </c>
      <c r="J22" s="44" t="s">
        <v>62</v>
      </c>
    </row>
    <row r="23" customFormat="false" ht="21.75" hidden="false" customHeight="true" outlineLevel="0" collapsed="false">
      <c r="A23" s="11" t="s">
        <v>14</v>
      </c>
      <c r="B23" s="41" t="n">
        <f aca="false">C$6</f>
        <v>1</v>
      </c>
      <c r="C23" s="41" t="n">
        <f aca="false">CEILING(F15*C$8,1)</f>
        <v>2</v>
      </c>
      <c r="D23" s="41" t="n">
        <f aca="false">CEILING(F15*C$6,1)</f>
        <v>2</v>
      </c>
      <c r="E23" s="42" t="n">
        <f aca="false">C23+D23</f>
        <v>4</v>
      </c>
      <c r="F23" s="41" t="n">
        <f aca="false">CEILING(F15*C$10,1)</f>
        <v>2</v>
      </c>
      <c r="G23" s="42" t="n">
        <f aca="false">E23+F23</f>
        <v>6</v>
      </c>
      <c r="H23" s="43" t="n">
        <f aca="false">E23*C$5</f>
        <v>9600</v>
      </c>
      <c r="I23" s="43" t="n">
        <f aca="false">G23*C$5</f>
        <v>14400</v>
      </c>
      <c r="J23" s="45" t="s">
        <v>63</v>
      </c>
    </row>
    <row r="24" customFormat="false" ht="21.75" hidden="false" customHeight="true" outlineLevel="0" collapsed="false">
      <c r="A24" s="14" t="s">
        <v>16</v>
      </c>
      <c r="B24" s="41" t="n">
        <f aca="false">C$6</f>
        <v>1</v>
      </c>
      <c r="C24" s="41" t="n">
        <f aca="false">CEILING(F16*C$8,1)</f>
        <v>1</v>
      </c>
      <c r="D24" s="41" t="n">
        <f aca="false">CEILING(F16*C$6,1)</f>
        <v>1</v>
      </c>
      <c r="E24" s="42" t="n">
        <f aca="false">C24+D24</f>
        <v>2</v>
      </c>
      <c r="F24" s="41" t="n">
        <f aca="false">CEILING(F16*C$10,1)</f>
        <v>2</v>
      </c>
      <c r="G24" s="42" t="n">
        <f aca="false">E24+F24</f>
        <v>4</v>
      </c>
      <c r="H24" s="43" t="n">
        <f aca="false">E24*C$5</f>
        <v>4800</v>
      </c>
      <c r="I24" s="43" t="n">
        <f aca="false">G24*C$5</f>
        <v>9600</v>
      </c>
      <c r="J24" s="46" t="s">
        <v>64</v>
      </c>
    </row>
    <row r="25" customFormat="false" ht="21.75" hidden="false" customHeight="true" outlineLevel="0" collapsed="false">
      <c r="A25" s="16" t="s">
        <v>17</v>
      </c>
      <c r="B25" s="41" t="n">
        <f aca="false">C$7</f>
        <v>2</v>
      </c>
      <c r="C25" s="41" t="n">
        <f aca="false">CEILING(F17*C$9,1)</f>
        <v>3</v>
      </c>
      <c r="D25" s="41" t="n">
        <f aca="false">CEILING(F17*C$7,1)</f>
        <v>3</v>
      </c>
      <c r="E25" s="42" t="n">
        <f aca="false">C25+D25</f>
        <v>6</v>
      </c>
      <c r="F25" s="41" t="n">
        <f aca="false">CEILING(F17*C$10,1)</f>
        <v>2</v>
      </c>
      <c r="G25" s="42" t="n">
        <f aca="false">E25+F25</f>
        <v>8</v>
      </c>
      <c r="H25" s="43" t="n">
        <f aca="false">E25*C$5</f>
        <v>14400</v>
      </c>
      <c r="I25" s="43" t="n">
        <f aca="false">G25*C$5</f>
        <v>19200</v>
      </c>
      <c r="J25" s="47" t="s">
        <v>65</v>
      </c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</row>
    <row r="28" customFormat="false" ht="21.75" hidden="false" customHeight="true" outlineLevel="0" collapsed="false">
      <c r="A28" s="26" t="s">
        <v>66</v>
      </c>
      <c r="B28" s="26"/>
      <c r="C28" s="26"/>
      <c r="D28" s="26"/>
      <c r="E28" s="26"/>
      <c r="F28" s="26"/>
      <c r="G28" s="26"/>
      <c r="H28" s="26"/>
      <c r="I28" s="26"/>
      <c r="J28" s="26"/>
    </row>
    <row r="29" customFormat="false" ht="18" hidden="false" customHeight="true" outlineLevel="0" collapsed="false">
      <c r="A29" s="11" t="s">
        <v>67</v>
      </c>
      <c r="B29" s="11"/>
      <c r="C29" s="48" t="s">
        <v>68</v>
      </c>
      <c r="D29" s="48"/>
      <c r="E29" s="48"/>
      <c r="F29" s="48"/>
      <c r="G29" s="48"/>
      <c r="H29" s="48"/>
      <c r="I29" s="48"/>
      <c r="J29" s="48"/>
    </row>
    <row r="30" customFormat="false" ht="18" hidden="false" customHeight="true" outlineLevel="0" collapsed="false">
      <c r="A30" s="11" t="s">
        <v>69</v>
      </c>
      <c r="B30" s="11"/>
      <c r="C30" s="48" t="s">
        <v>70</v>
      </c>
      <c r="D30" s="48"/>
      <c r="E30" s="48"/>
      <c r="F30" s="48"/>
      <c r="G30" s="48"/>
      <c r="H30" s="48"/>
      <c r="I30" s="48"/>
      <c r="J30" s="48"/>
    </row>
    <row r="31" customFormat="false" ht="18" hidden="false" customHeight="true" outlineLevel="0" collapsed="false">
      <c r="A31" s="11" t="s">
        <v>71</v>
      </c>
      <c r="B31" s="11"/>
      <c r="C31" s="48" t="s">
        <v>72</v>
      </c>
      <c r="D31" s="48"/>
      <c r="E31" s="48"/>
      <c r="F31" s="48"/>
      <c r="G31" s="48"/>
      <c r="H31" s="48"/>
      <c r="I31" s="48"/>
      <c r="J31" s="48"/>
    </row>
    <row r="32" customFormat="false" ht="18" hidden="false" customHeight="true" outlineLevel="0" collapsed="false">
      <c r="A32" s="11" t="s">
        <v>73</v>
      </c>
      <c r="B32" s="11"/>
      <c r="C32" s="48" t="s">
        <v>74</v>
      </c>
      <c r="D32" s="48"/>
      <c r="E32" s="48"/>
      <c r="F32" s="48"/>
      <c r="G32" s="48"/>
      <c r="H32" s="48"/>
      <c r="I32" s="48"/>
      <c r="J32" s="48"/>
    </row>
    <row r="33" customFormat="false" ht="18" hidden="false" customHeight="true" outlineLevel="0" collapsed="false">
      <c r="A33" s="11" t="s">
        <v>75</v>
      </c>
      <c r="B33" s="11"/>
      <c r="C33" s="48" t="s">
        <v>76</v>
      </c>
      <c r="D33" s="48"/>
      <c r="E33" s="48"/>
      <c r="F33" s="48"/>
      <c r="G33" s="48"/>
      <c r="H33" s="48"/>
      <c r="I33" s="48"/>
      <c r="J33" s="48"/>
    </row>
    <row r="34" customFormat="false" ht="18" hidden="false" customHeight="true" outlineLevel="0" collapsed="false">
      <c r="A34" s="11" t="s">
        <v>77</v>
      </c>
      <c r="B34" s="11"/>
      <c r="C34" s="48" t="s">
        <v>78</v>
      </c>
      <c r="D34" s="48"/>
      <c r="E34" s="48"/>
      <c r="F34" s="48"/>
      <c r="G34" s="48"/>
      <c r="H34" s="48"/>
      <c r="I34" s="48"/>
      <c r="J34" s="48"/>
    </row>
  </sheetData>
  <mergeCells count="34">
    <mergeCell ref="A1:J1"/>
    <mergeCell ref="A2:J2"/>
    <mergeCell ref="A4:D4"/>
    <mergeCell ref="A5:B5"/>
    <mergeCell ref="D5:J5"/>
    <mergeCell ref="A6:B6"/>
    <mergeCell ref="D6:J6"/>
    <mergeCell ref="A7:B7"/>
    <mergeCell ref="D7:J7"/>
    <mergeCell ref="A8:B8"/>
    <mergeCell ref="D8:J8"/>
    <mergeCell ref="A9:B9"/>
    <mergeCell ref="D9:J9"/>
    <mergeCell ref="A10:B10"/>
    <mergeCell ref="D10:J10"/>
    <mergeCell ref="A12:J12"/>
    <mergeCell ref="H14:J14"/>
    <mergeCell ref="H15:J15"/>
    <mergeCell ref="H16:J16"/>
    <mergeCell ref="H17:J17"/>
    <mergeCell ref="A20:J20"/>
    <mergeCell ref="A28:J28"/>
    <mergeCell ref="A29:B29"/>
    <mergeCell ref="C29:J29"/>
    <mergeCell ref="A30:B30"/>
    <mergeCell ref="C30:J30"/>
    <mergeCell ref="A31:B31"/>
    <mergeCell ref="C31:J31"/>
    <mergeCell ref="A32:B32"/>
    <mergeCell ref="C32:J32"/>
    <mergeCell ref="A33:B33"/>
    <mergeCell ref="C33:J33"/>
    <mergeCell ref="A34:B34"/>
    <mergeCell ref="C34:J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10" min="9" style="0" width="13"/>
    <col collapsed="false" customWidth="true" hidden="false" outlineLevel="0" max="11" min="11" style="0" width="8"/>
    <col collapsed="false" customWidth="true" hidden="false" outlineLevel="0" max="12" min="12" style="0" width="14"/>
  </cols>
  <sheetData>
    <row r="1" customFormat="false" ht="36" hidden="false" customHeight="true" outlineLevel="0" collapsed="false">
      <c r="A1" s="25" t="s">
        <v>79</v>
      </c>
      <c r="B1" s="25"/>
      <c r="C1" s="25"/>
      <c r="D1" s="25"/>
      <c r="E1" s="25"/>
      <c r="F1" s="25"/>
      <c r="G1" s="25"/>
      <c r="H1" s="25"/>
      <c r="I1" s="25"/>
      <c r="J1" s="25"/>
    </row>
    <row r="2" customFormat="false" ht="15.75" hidden="false" customHeight="true" outlineLevel="0" collapsed="false">
      <c r="A2" s="2" t="s">
        <v>80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A4" s="3" t="s">
        <v>81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27.75" hidden="false" customHeight="true" outlineLevel="0" collapsed="false">
      <c r="A5" s="4" t="s">
        <v>3</v>
      </c>
      <c r="B5" s="4" t="s">
        <v>82</v>
      </c>
      <c r="C5" s="4" t="s">
        <v>83</v>
      </c>
      <c r="D5" s="4" t="s">
        <v>84</v>
      </c>
      <c r="E5" s="4" t="s">
        <v>7</v>
      </c>
      <c r="F5" s="4" t="s">
        <v>85</v>
      </c>
      <c r="G5" s="20"/>
      <c r="H5" s="20"/>
      <c r="I5" s="20"/>
      <c r="J5" s="20"/>
    </row>
    <row r="6" customFormat="false" ht="19.5" hidden="false" customHeight="true" outlineLevel="0" collapsed="false">
      <c r="A6" s="5" t="s">
        <v>12</v>
      </c>
      <c r="B6" s="6" t="n">
        <v>6</v>
      </c>
      <c r="C6" s="6" t="n">
        <v>0.5</v>
      </c>
      <c r="D6" s="6" t="n">
        <v>0.6</v>
      </c>
      <c r="E6" s="49" t="n">
        <v>7.1</v>
      </c>
      <c r="F6" s="50" t="s">
        <v>86</v>
      </c>
      <c r="G6" s="50"/>
      <c r="H6" s="50"/>
      <c r="I6" s="50"/>
      <c r="J6" s="50"/>
    </row>
    <row r="7" customFormat="false" ht="19.5" hidden="false" customHeight="true" outlineLevel="0" collapsed="false">
      <c r="A7" s="11" t="s">
        <v>14</v>
      </c>
      <c r="B7" s="12" t="n">
        <v>3</v>
      </c>
      <c r="C7" s="12" t="n">
        <v>0.5</v>
      </c>
      <c r="D7" s="12" t="n">
        <v>1</v>
      </c>
      <c r="E7" s="49" t="n">
        <v>4.5</v>
      </c>
      <c r="F7" s="50" t="s">
        <v>86</v>
      </c>
      <c r="G7" s="50"/>
      <c r="H7" s="50"/>
      <c r="I7" s="50"/>
      <c r="J7" s="50"/>
    </row>
    <row r="8" customFormat="false" ht="19.5" hidden="false" customHeight="true" outlineLevel="0" collapsed="false">
      <c r="A8" s="14" t="s">
        <v>16</v>
      </c>
      <c r="B8" s="15" t="n">
        <v>9</v>
      </c>
      <c r="C8" s="15" t="n">
        <v>0.2</v>
      </c>
      <c r="D8" s="15" t="n">
        <v>0.3</v>
      </c>
      <c r="E8" s="49" t="n">
        <v>9.5</v>
      </c>
      <c r="F8" s="50" t="s">
        <v>86</v>
      </c>
      <c r="G8" s="50"/>
      <c r="H8" s="50"/>
      <c r="I8" s="50"/>
      <c r="J8" s="50"/>
    </row>
    <row r="9" customFormat="false" ht="19.5" hidden="false" customHeight="true" outlineLevel="0" collapsed="false">
      <c r="A9" s="16" t="s">
        <v>17</v>
      </c>
      <c r="B9" s="17" t="n">
        <v>3.9</v>
      </c>
      <c r="C9" s="17" t="n">
        <v>0.6</v>
      </c>
      <c r="D9" s="17" t="n">
        <v>1.4</v>
      </c>
      <c r="E9" s="49" t="n">
        <v>5.8</v>
      </c>
      <c r="F9" s="50" t="s">
        <v>86</v>
      </c>
      <c r="G9" s="50"/>
      <c r="H9" s="50"/>
      <c r="I9" s="50"/>
      <c r="J9" s="50"/>
    </row>
    <row r="10" customFormat="false" ht="19.5" hidden="false" customHeight="true" outlineLevel="0" collapsed="false">
      <c r="A10" s="18" t="s">
        <v>18</v>
      </c>
      <c r="B10" s="51" t="n">
        <v>21.9</v>
      </c>
      <c r="C10" s="51" t="n">
        <v>1.7</v>
      </c>
      <c r="D10" s="51" t="n">
        <v>3.3</v>
      </c>
      <c r="E10" s="51" t="n">
        <v>26.9</v>
      </c>
      <c r="F10" s="20"/>
      <c r="G10" s="20"/>
      <c r="H10" s="20"/>
      <c r="I10" s="20"/>
      <c r="J10" s="20"/>
    </row>
    <row r="12" customFormat="false" ht="21.75" hidden="false" customHeight="true" outlineLevel="0" collapsed="false">
      <c r="A12" s="3" t="s">
        <v>87</v>
      </c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.75" hidden="false" customHeight="true" outlineLevel="0" collapsed="false">
      <c r="A13" s="52" t="s">
        <v>88</v>
      </c>
      <c r="B13" s="52"/>
      <c r="C13" s="52"/>
      <c r="D13" s="52"/>
      <c r="E13" s="52"/>
      <c r="F13" s="52"/>
      <c r="G13" s="52"/>
      <c r="H13" s="52"/>
      <c r="I13" s="52"/>
      <c r="J13" s="52"/>
    </row>
    <row r="14" customFormat="false" ht="45" hidden="false" customHeight="true" outlineLevel="0" collapsed="false">
      <c r="A14" s="4" t="s">
        <v>3</v>
      </c>
      <c r="B14" s="4" t="s">
        <v>89</v>
      </c>
      <c r="C14" s="4" t="s">
        <v>90</v>
      </c>
      <c r="D14" s="4" t="s">
        <v>91</v>
      </c>
      <c r="E14" s="4" t="s">
        <v>92</v>
      </c>
      <c r="F14" s="4" t="s">
        <v>8</v>
      </c>
      <c r="G14" s="4" t="s">
        <v>93</v>
      </c>
      <c r="H14" s="4" t="s">
        <v>94</v>
      </c>
      <c r="I14" s="4" t="s">
        <v>95</v>
      </c>
      <c r="J14" s="4" t="s">
        <v>96</v>
      </c>
      <c r="K14" s="4" t="s">
        <v>97</v>
      </c>
      <c r="L14" s="4" t="s">
        <v>98</v>
      </c>
    </row>
    <row r="15" customFormat="false" ht="24" hidden="false" customHeight="true" outlineLevel="0" collapsed="false">
      <c r="A15" s="5" t="s">
        <v>12</v>
      </c>
      <c r="B15" s="6" t="n">
        <v>7.1</v>
      </c>
      <c r="C15" s="53" t="n">
        <v>1.56</v>
      </c>
      <c r="D15" s="29" t="n">
        <v>12</v>
      </c>
      <c r="E15" s="54" t="n">
        <v>4.4</v>
      </c>
      <c r="F15" s="8" t="n">
        <v>4</v>
      </c>
      <c r="G15" s="55" t="n">
        <v>0.4</v>
      </c>
      <c r="H15" s="6" t="n">
        <v>0.3</v>
      </c>
      <c r="I15" s="56" t="s">
        <v>99</v>
      </c>
      <c r="J15" s="57" t="s">
        <v>100</v>
      </c>
      <c r="K15" s="8" t="n">
        <v>1</v>
      </c>
      <c r="L15" s="13" t="s">
        <v>101</v>
      </c>
    </row>
    <row r="16" customFormat="false" ht="24" hidden="false" customHeight="true" outlineLevel="0" collapsed="false">
      <c r="A16" s="11" t="s">
        <v>14</v>
      </c>
      <c r="B16" s="12" t="n">
        <v>4.5</v>
      </c>
      <c r="C16" s="58" t="n">
        <v>1.25</v>
      </c>
      <c r="D16" s="29" t="n">
        <v>12</v>
      </c>
      <c r="E16" s="59" t="n">
        <v>2.4</v>
      </c>
      <c r="F16" s="8" t="n">
        <v>4</v>
      </c>
      <c r="G16" s="60" t="n">
        <v>-1.6</v>
      </c>
      <c r="H16" s="12" t="n">
        <v>0</v>
      </c>
      <c r="I16" s="56" t="s">
        <v>102</v>
      </c>
      <c r="J16" s="57" t="s">
        <v>103</v>
      </c>
      <c r="K16" s="8" t="n">
        <v>1</v>
      </c>
      <c r="L16" s="61" t="s">
        <v>104</v>
      </c>
    </row>
    <row r="17" customFormat="false" ht="24" hidden="false" customHeight="true" outlineLevel="0" collapsed="false">
      <c r="A17" s="14" t="s">
        <v>16</v>
      </c>
      <c r="B17" s="15" t="n">
        <v>9.5</v>
      </c>
      <c r="C17" s="62" t="n">
        <v>0.8</v>
      </c>
      <c r="D17" s="29" t="n">
        <v>12</v>
      </c>
      <c r="E17" s="54" t="n">
        <v>8.1</v>
      </c>
      <c r="F17" s="8" t="n">
        <v>2</v>
      </c>
      <c r="G17" s="55" t="n">
        <v>6.1</v>
      </c>
      <c r="H17" s="15" t="n">
        <v>7.6</v>
      </c>
      <c r="I17" s="63" t="s">
        <v>105</v>
      </c>
      <c r="J17" s="57" t="s">
        <v>106</v>
      </c>
      <c r="K17" s="8" t="n">
        <v>1</v>
      </c>
      <c r="L17" s="10" t="s">
        <v>107</v>
      </c>
    </row>
    <row r="18" customFormat="false" ht="24" hidden="false" customHeight="true" outlineLevel="0" collapsed="false">
      <c r="A18" s="16" t="s">
        <v>17</v>
      </c>
      <c r="B18" s="17" t="n">
        <v>5.8</v>
      </c>
      <c r="C18" s="64" t="n">
        <v>1.14</v>
      </c>
      <c r="D18" s="29" t="n">
        <v>12</v>
      </c>
      <c r="E18" s="59" t="n">
        <v>3.8</v>
      </c>
      <c r="F18" s="8" t="n">
        <v>4</v>
      </c>
      <c r="G18" s="60" t="n">
        <v>-0.2</v>
      </c>
      <c r="H18" s="17" t="n">
        <v>0</v>
      </c>
      <c r="I18" s="56" t="s">
        <v>102</v>
      </c>
      <c r="J18" s="57" t="s">
        <v>108</v>
      </c>
      <c r="K18" s="8" t="n">
        <v>2</v>
      </c>
      <c r="L18" s="61" t="s">
        <v>104</v>
      </c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1" customFormat="false" ht="21.75" hidden="false" customHeight="true" outlineLevel="0" collapsed="false">
      <c r="A21" s="3" t="s">
        <v>109</v>
      </c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5" hidden="false" customHeight="false" outlineLevel="0" collapsed="false">
      <c r="A22" s="65" t="s">
        <v>110</v>
      </c>
      <c r="B22" s="65" t="s">
        <v>3</v>
      </c>
      <c r="C22" s="65" t="s">
        <v>111</v>
      </c>
      <c r="D22" s="65" t="s">
        <v>112</v>
      </c>
      <c r="E22" s="20"/>
      <c r="F22" s="20"/>
      <c r="G22" s="20"/>
      <c r="H22" s="20"/>
      <c r="I22" s="20"/>
      <c r="J22" s="20"/>
    </row>
    <row r="23" customFormat="false" ht="21.75" hidden="false" customHeight="true" outlineLevel="0" collapsed="false">
      <c r="A23" s="66" t="s">
        <v>113</v>
      </c>
      <c r="B23" s="66" t="s">
        <v>114</v>
      </c>
      <c r="C23" s="66" t="s">
        <v>115</v>
      </c>
      <c r="D23" s="67" t="s">
        <v>116</v>
      </c>
      <c r="E23" s="67"/>
      <c r="F23" s="67"/>
      <c r="G23" s="67"/>
      <c r="H23" s="67"/>
      <c r="I23" s="67"/>
      <c r="J23" s="67"/>
    </row>
    <row r="24" customFormat="false" ht="21.75" hidden="false" customHeight="true" outlineLevel="0" collapsed="false">
      <c r="A24" s="66" t="s">
        <v>113</v>
      </c>
      <c r="B24" s="66" t="s">
        <v>117</v>
      </c>
      <c r="C24" s="66" t="s">
        <v>118</v>
      </c>
      <c r="D24" s="67" t="s">
        <v>119</v>
      </c>
      <c r="E24" s="67"/>
      <c r="F24" s="67"/>
      <c r="G24" s="67"/>
      <c r="H24" s="67"/>
      <c r="I24" s="67"/>
      <c r="J24" s="67"/>
    </row>
    <row r="25" customFormat="false" ht="21.75" hidden="false" customHeight="true" outlineLevel="0" collapsed="false">
      <c r="A25" s="68" t="s">
        <v>120</v>
      </c>
      <c r="B25" s="68" t="s">
        <v>121</v>
      </c>
      <c r="C25" s="68" t="s">
        <v>115</v>
      </c>
      <c r="D25" s="69" t="s">
        <v>122</v>
      </c>
      <c r="E25" s="69"/>
      <c r="F25" s="69"/>
      <c r="G25" s="69"/>
      <c r="H25" s="69"/>
      <c r="I25" s="69"/>
      <c r="J25" s="69"/>
    </row>
    <row r="26" customFormat="false" ht="21.75" hidden="false" customHeight="true" outlineLevel="0" collapsed="false">
      <c r="A26" s="70" t="s">
        <v>123</v>
      </c>
      <c r="B26" s="70" t="s">
        <v>124</v>
      </c>
      <c r="C26" s="70" t="s">
        <v>118</v>
      </c>
      <c r="D26" s="71" t="s">
        <v>125</v>
      </c>
      <c r="E26" s="71"/>
      <c r="F26" s="71"/>
      <c r="G26" s="71"/>
      <c r="H26" s="71"/>
      <c r="I26" s="71"/>
      <c r="J26" s="71"/>
    </row>
  </sheetData>
  <mergeCells count="14">
    <mergeCell ref="A1:J1"/>
    <mergeCell ref="A2:J2"/>
    <mergeCell ref="A4:J4"/>
    <mergeCell ref="F6:J6"/>
    <mergeCell ref="F7:J7"/>
    <mergeCell ref="F8:J8"/>
    <mergeCell ref="F9:J9"/>
    <mergeCell ref="A12:J12"/>
    <mergeCell ref="A13:J13"/>
    <mergeCell ref="A21:J21"/>
    <mergeCell ref="D23:J23"/>
    <mergeCell ref="D24:J24"/>
    <mergeCell ref="D25:J25"/>
    <mergeCell ref="D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1"/>
    <col collapsed="false" customWidth="true" hidden="false" outlineLevel="0" max="6" min="6" style="0" width="12"/>
    <col collapsed="false" customWidth="true" hidden="false" outlineLevel="0" max="8" min="7" style="0" width="13"/>
  </cols>
  <sheetData>
    <row r="1" customFormat="false" ht="36" hidden="false" customHeight="true" outlineLevel="0" collapsed="false">
      <c r="A1" s="25" t="s">
        <v>126</v>
      </c>
      <c r="B1" s="25"/>
      <c r="C1" s="25"/>
      <c r="D1" s="25"/>
      <c r="E1" s="25"/>
      <c r="F1" s="25"/>
      <c r="G1" s="25"/>
      <c r="H1" s="25"/>
    </row>
    <row r="2" customFormat="false" ht="15.75" hidden="false" customHeight="true" outlineLevel="0" collapsed="false">
      <c r="A2" s="2" t="s">
        <v>127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128</v>
      </c>
      <c r="B4" s="3"/>
      <c r="C4" s="3"/>
      <c r="D4" s="3"/>
      <c r="E4" s="3"/>
      <c r="F4" s="3"/>
      <c r="G4" s="3"/>
      <c r="H4" s="3"/>
    </row>
    <row r="5" customFormat="false" ht="31.5" hidden="false" customHeight="true" outlineLevel="0" collapsed="false">
      <c r="A5" s="4" t="s">
        <v>129</v>
      </c>
      <c r="B5" s="4" t="s">
        <v>130</v>
      </c>
      <c r="C5" s="4" t="s">
        <v>131</v>
      </c>
      <c r="D5" s="4" t="s">
        <v>132</v>
      </c>
      <c r="E5" s="4" t="s">
        <v>71</v>
      </c>
      <c r="F5" s="4" t="s">
        <v>133</v>
      </c>
      <c r="G5" s="4" t="s">
        <v>134</v>
      </c>
      <c r="H5" s="4" t="s">
        <v>135</v>
      </c>
    </row>
    <row r="6" customFormat="false" ht="19.5" hidden="false" customHeight="true" outlineLevel="0" collapsed="false">
      <c r="A6" s="72" t="s">
        <v>136</v>
      </c>
      <c r="B6" s="31" t="n">
        <v>1</v>
      </c>
      <c r="C6" s="73" t="n">
        <v>1.14</v>
      </c>
      <c r="D6" s="74" t="n">
        <v>3</v>
      </c>
      <c r="E6" s="74" t="n">
        <v>3</v>
      </c>
      <c r="F6" s="75" t="n">
        <v>6</v>
      </c>
      <c r="G6" s="74" t="n">
        <v>2</v>
      </c>
      <c r="H6" s="75" t="n">
        <v>8</v>
      </c>
    </row>
    <row r="7" customFormat="false" ht="19.5" hidden="false" customHeight="true" outlineLevel="0" collapsed="false">
      <c r="A7" s="76" t="s">
        <v>137</v>
      </c>
      <c r="B7" s="31" t="n">
        <v>1.1</v>
      </c>
      <c r="C7" s="77" t="n">
        <v>1.25</v>
      </c>
      <c r="D7" s="78" t="n">
        <v>3</v>
      </c>
      <c r="E7" s="78" t="n">
        <v>3</v>
      </c>
      <c r="F7" s="75" t="n">
        <v>6</v>
      </c>
      <c r="G7" s="78" t="n">
        <v>2</v>
      </c>
      <c r="H7" s="75" t="n">
        <v>8</v>
      </c>
    </row>
    <row r="8" customFormat="false" ht="19.5" hidden="false" customHeight="true" outlineLevel="0" collapsed="false">
      <c r="A8" s="79" t="s">
        <v>138</v>
      </c>
      <c r="B8" s="31" t="n">
        <v>1.2</v>
      </c>
      <c r="C8" s="80" t="n">
        <v>1.37</v>
      </c>
      <c r="D8" s="81" t="n">
        <v>3</v>
      </c>
      <c r="E8" s="81" t="n">
        <v>3</v>
      </c>
      <c r="F8" s="75" t="n">
        <v>6</v>
      </c>
      <c r="G8" s="81" t="n">
        <v>3</v>
      </c>
      <c r="H8" s="75" t="n">
        <v>9</v>
      </c>
    </row>
    <row r="9" customFormat="false" ht="19.5" hidden="false" customHeight="true" outlineLevel="0" collapsed="false">
      <c r="A9" s="82" t="s">
        <v>139</v>
      </c>
      <c r="B9" s="31" t="n">
        <v>1.3</v>
      </c>
      <c r="C9" s="83" t="n">
        <v>1.48</v>
      </c>
      <c r="D9" s="84" t="n">
        <v>3</v>
      </c>
      <c r="E9" s="84" t="n">
        <v>3</v>
      </c>
      <c r="F9" s="75" t="n">
        <v>6</v>
      </c>
      <c r="G9" s="84" t="n">
        <v>3</v>
      </c>
      <c r="H9" s="75" t="n">
        <v>9</v>
      </c>
    </row>
    <row r="11" customFormat="false" ht="21.75" hidden="false" customHeight="true" outlineLevel="0" collapsed="false">
      <c r="A11" s="3" t="s">
        <v>140</v>
      </c>
      <c r="B11" s="3"/>
      <c r="C11" s="3"/>
      <c r="D11" s="3"/>
      <c r="E11" s="3"/>
      <c r="F11" s="3"/>
      <c r="G11" s="3"/>
      <c r="H11" s="3"/>
    </row>
    <row r="12" customFormat="false" ht="31.5" hidden="false" customHeight="true" outlineLevel="0" collapsed="false">
      <c r="A12" s="4" t="s">
        <v>141</v>
      </c>
      <c r="B12" s="4" t="s">
        <v>142</v>
      </c>
      <c r="C12" s="4" t="s">
        <v>143</v>
      </c>
      <c r="D12" s="4" t="s">
        <v>144</v>
      </c>
      <c r="E12" s="4" t="s">
        <v>8</v>
      </c>
      <c r="F12" s="4" t="s">
        <v>145</v>
      </c>
      <c r="G12" s="4" t="s">
        <v>146</v>
      </c>
      <c r="H12" s="4" t="s">
        <v>147</v>
      </c>
    </row>
    <row r="13" customFormat="false" ht="18" hidden="false" customHeight="true" outlineLevel="0" collapsed="false">
      <c r="A13" s="85" t="s">
        <v>148</v>
      </c>
      <c r="B13" s="17" t="n">
        <v>3.5</v>
      </c>
      <c r="C13" s="64" t="n">
        <v>1.37</v>
      </c>
      <c r="D13" s="17" t="n">
        <v>2.1</v>
      </c>
      <c r="E13" s="81" t="n">
        <v>6</v>
      </c>
      <c r="F13" s="68" t="s">
        <v>149</v>
      </c>
      <c r="G13" s="81"/>
      <c r="H13" s="17" t="n">
        <v>2.1</v>
      </c>
    </row>
    <row r="14" customFormat="false" ht="18" hidden="false" customHeight="true" outlineLevel="0" collapsed="false">
      <c r="A14" s="85" t="s">
        <v>150</v>
      </c>
      <c r="B14" s="17" t="n">
        <v>2.1</v>
      </c>
      <c r="C14" s="64" t="n">
        <v>1.37</v>
      </c>
      <c r="D14" s="17" t="n">
        <v>0.7</v>
      </c>
      <c r="E14" s="81" t="n">
        <v>6</v>
      </c>
      <c r="F14" s="68" t="s">
        <v>149</v>
      </c>
      <c r="G14" s="81"/>
      <c r="H14" s="17" t="n">
        <v>0.7</v>
      </c>
    </row>
    <row r="15" customFormat="false" ht="18" hidden="false" customHeight="true" outlineLevel="0" collapsed="false">
      <c r="A15" s="86" t="s">
        <v>151</v>
      </c>
      <c r="B15" s="87" t="n">
        <v>0.7</v>
      </c>
      <c r="C15" s="88" t="n">
        <v>1.37</v>
      </c>
      <c r="D15" s="89" t="n">
        <v>-0.7</v>
      </c>
      <c r="E15" s="84" t="n">
        <v>6</v>
      </c>
      <c r="F15" s="68" t="s">
        <v>149</v>
      </c>
      <c r="G15" s="74" t="n">
        <v>2</v>
      </c>
      <c r="H15" s="87" t="n">
        <v>1.3</v>
      </c>
    </row>
    <row r="16" customFormat="false" ht="18" hidden="false" customHeight="true" outlineLevel="0" collapsed="false">
      <c r="A16" s="86" t="s">
        <v>152</v>
      </c>
      <c r="B16" s="87" t="n">
        <v>1.3</v>
      </c>
      <c r="C16" s="88" t="n">
        <v>1.37</v>
      </c>
      <c r="D16" s="89" t="n">
        <v>-0.1</v>
      </c>
      <c r="E16" s="84" t="n">
        <v>6</v>
      </c>
      <c r="F16" s="68" t="s">
        <v>149</v>
      </c>
      <c r="G16" s="74" t="n">
        <v>2</v>
      </c>
      <c r="H16" s="87" t="n">
        <v>1.9</v>
      </c>
    </row>
    <row r="17" customFormat="false" ht="18" hidden="false" customHeight="true" outlineLevel="0" collapsed="false">
      <c r="A17" s="85" t="s">
        <v>153</v>
      </c>
      <c r="B17" s="17" t="n">
        <v>1.9</v>
      </c>
      <c r="C17" s="64" t="n">
        <v>1.37</v>
      </c>
      <c r="D17" s="17" t="n">
        <v>0.5</v>
      </c>
      <c r="E17" s="81" t="n">
        <v>6</v>
      </c>
      <c r="F17" s="68" t="s">
        <v>149</v>
      </c>
      <c r="G17" s="74" t="n">
        <v>2</v>
      </c>
      <c r="H17" s="17" t="n">
        <v>2.5</v>
      </c>
    </row>
    <row r="18" customFormat="false" ht="18" hidden="false" customHeight="true" outlineLevel="0" collapsed="false">
      <c r="A18" s="85" t="s">
        <v>154</v>
      </c>
      <c r="B18" s="17" t="n">
        <v>2.5</v>
      </c>
      <c r="C18" s="64" t="n">
        <v>1.37</v>
      </c>
      <c r="D18" s="17" t="n">
        <v>1.1</v>
      </c>
      <c r="E18" s="81" t="n">
        <v>6</v>
      </c>
      <c r="F18" s="68" t="s">
        <v>149</v>
      </c>
      <c r="G18" s="74" t="n">
        <v>2</v>
      </c>
      <c r="H18" s="17" t="n">
        <v>3.1</v>
      </c>
    </row>
    <row r="19" customFormat="false" ht="18" hidden="false" customHeight="true" outlineLevel="0" collapsed="false">
      <c r="A19" s="85" t="s">
        <v>155</v>
      </c>
      <c r="B19" s="17" t="n">
        <v>3.1</v>
      </c>
      <c r="C19" s="64" t="n">
        <v>1.37</v>
      </c>
      <c r="D19" s="17" t="n">
        <v>1.7</v>
      </c>
      <c r="E19" s="81" t="n">
        <v>6</v>
      </c>
      <c r="F19" s="68" t="s">
        <v>149</v>
      </c>
      <c r="G19" s="74" t="n">
        <v>2</v>
      </c>
      <c r="H19" s="17" t="n">
        <v>3.7</v>
      </c>
    </row>
    <row r="20" customFormat="false" ht="18" hidden="false" customHeight="true" outlineLevel="0" collapsed="false">
      <c r="A20" s="85" t="s">
        <v>156</v>
      </c>
      <c r="B20" s="17" t="n">
        <v>3.7</v>
      </c>
      <c r="C20" s="64" t="n">
        <v>1.37</v>
      </c>
      <c r="D20" s="17" t="n">
        <v>2.3</v>
      </c>
      <c r="E20" s="81" t="n">
        <v>6</v>
      </c>
      <c r="F20" s="68" t="s">
        <v>149</v>
      </c>
      <c r="G20" s="74" t="n">
        <v>2</v>
      </c>
      <c r="H20" s="17" t="n">
        <v>4.3</v>
      </c>
    </row>
    <row r="22" customFormat="false" ht="21.75" hidden="false" customHeight="true" outlineLevel="0" collapsed="false">
      <c r="A22" s="3" t="s">
        <v>157</v>
      </c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65" t="s">
        <v>158</v>
      </c>
      <c r="B23" s="65" t="s">
        <v>112</v>
      </c>
      <c r="C23" s="65" t="s">
        <v>159</v>
      </c>
      <c r="D23" s="20"/>
      <c r="E23" s="20"/>
      <c r="F23" s="20"/>
      <c r="G23" s="20"/>
      <c r="H23" s="20"/>
    </row>
    <row r="24" customFormat="false" ht="19.5" hidden="false" customHeight="true" outlineLevel="0" collapsed="false">
      <c r="A24" s="90" t="s">
        <v>160</v>
      </c>
      <c r="B24" s="90" t="s">
        <v>161</v>
      </c>
      <c r="C24" s="69" t="s">
        <v>162</v>
      </c>
      <c r="D24" s="69"/>
      <c r="E24" s="69"/>
      <c r="F24" s="69"/>
      <c r="G24" s="69"/>
      <c r="H24" s="69"/>
    </row>
    <row r="25" customFormat="false" ht="19.5" hidden="false" customHeight="true" outlineLevel="0" collapsed="false">
      <c r="A25" s="90" t="s">
        <v>163</v>
      </c>
      <c r="B25" s="90" t="s">
        <v>164</v>
      </c>
      <c r="C25" s="69" t="s">
        <v>165</v>
      </c>
      <c r="D25" s="69"/>
      <c r="E25" s="69"/>
      <c r="F25" s="69"/>
      <c r="G25" s="69"/>
      <c r="H25" s="69"/>
    </row>
    <row r="26" customFormat="false" ht="19.5" hidden="false" customHeight="true" outlineLevel="0" collapsed="false">
      <c r="A26" s="91" t="s">
        <v>166</v>
      </c>
      <c r="B26" s="91" t="s">
        <v>167</v>
      </c>
      <c r="C26" s="71" t="s">
        <v>168</v>
      </c>
      <c r="D26" s="71"/>
      <c r="E26" s="71"/>
      <c r="F26" s="71"/>
      <c r="G26" s="71"/>
      <c r="H26" s="71"/>
    </row>
    <row r="27" customFormat="false" ht="19.5" hidden="false" customHeight="true" outlineLevel="0" collapsed="false">
      <c r="A27" s="91" t="s">
        <v>169</v>
      </c>
      <c r="B27" s="91" t="s">
        <v>170</v>
      </c>
      <c r="C27" s="71" t="s">
        <v>171</v>
      </c>
      <c r="D27" s="71"/>
      <c r="E27" s="71"/>
      <c r="F27" s="71"/>
      <c r="G27" s="71"/>
      <c r="H27" s="71"/>
    </row>
  </sheetData>
  <mergeCells count="9">
    <mergeCell ref="A1:H1"/>
    <mergeCell ref="A2:H2"/>
    <mergeCell ref="A4:H4"/>
    <mergeCell ref="A11:H11"/>
    <mergeCell ref="A22:H22"/>
    <mergeCell ref="C24:H24"/>
    <mergeCell ref="C25:H25"/>
    <mergeCell ref="C26:H26"/>
    <mergeCell ref="C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2026-04-19T08:00:14Z</dcterms:created>
  <dc:creator>openpyxl</dc:creator>
  <dc:description/>
  <dc:language>en-US</dc:language>
  <cp:lastModifiedBy/>
  <dcterms:modified xsi:type="dcterms:W3CDTF">2026-04-19T08:00:14Z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