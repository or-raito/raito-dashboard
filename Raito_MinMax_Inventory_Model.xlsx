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⚙️ Min-Max Model" sheetId="2" state="visible" r:id="rId4"/>
    <sheet name="📅 Phase-In May" sheetId="3" state="visible" r:id="rId5"/>
    <sheet name="🔬 Pistachio Sensitivity" sheetId="4" state="visible" r:id="rId6"/>
    <sheet name="📋 Data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<sst xmlns="http://schemas.openxmlformats.org/spreadsheetml/2006/main" count="292" uniqueCount="235">
  <si>
    <t xml:space="preserve">RAITO × VANIGLIA — MIN/MAX INVENTORY MODEL</t>
  </si>
  <si>
    <t xml:space="preserve">Effective Date: May 1, 2026  |  Manufacturer: Vaniglia  |  Batch Size: 2,400 units / flavor  |  Data as of: April 19, 2026</t>
  </si>
  <si>
    <t xml:space="preserve">A. CURRENT INVENTORY SNAPSHOT (April 19, 2026)</t>
  </si>
  <si>
    <t xml:space="preserve">Flavor</t>
  </si>
  <si>
    <t xml:space="preserve">Karfree Warehouse</t>
  </si>
  <si>
    <t xml:space="preserve">Icedream Dist.</t>
  </si>
  <si>
    <t xml:space="preserve">Ma'ayan Dist.</t>
  </si>
  <si>
    <t xml:space="preserve">TOTAL STOCK</t>
  </si>
  <si>
    <t xml:space="preserve">Min (ROP)</t>
  </si>
  <si>
    <t xml:space="preserve">Max</t>
  </si>
  <si>
    <t xml:space="preserve">vs Min</t>
  </si>
  <si>
    <t xml:space="preserve">Cover (wks)</t>
  </si>
  <si>
    <t xml:space="preserve">Status</t>
  </si>
  <si>
    <t xml:space="preserve">Vanilla</t>
  </si>
  <si>
    <t xml:space="preserve">🟢 OK</t>
  </si>
  <si>
    <t xml:space="preserve">Chocolate</t>
  </si>
  <si>
    <t xml:space="preserve">Mango</t>
  </si>
  <si>
    <t xml:space="preserve">Pistachio</t>
  </si>
  <si>
    <t xml:space="preserve">TOTAL</t>
  </si>
  <si>
    <t xml:space="preserve">B. MAY 2026 DEMAND ASSUMPTIONS (Update inputs on 'Min-Max Model' sheet)</t>
  </si>
  <si>
    <t xml:space="preserve">⚡ Yellow cells = adjustable inputs   |   Black cells = formulas   |   Blue cells = values derived from data</t>
  </si>
  <si>
    <t xml:space="preserve">Apr Baseline (wks)</t>
  </si>
  <si>
    <t xml:space="preserve">NBA/Summer Uplift</t>
  </si>
  <si>
    <t xml:space="preserve">New Cust. Uplift</t>
  </si>
  <si>
    <t xml:space="preserve">May Forecast (wks)</t>
  </si>
  <si>
    <t xml:space="preserve">Monthly (×4.3 wks)</t>
  </si>
  <si>
    <t xml:space="preserve">Demand Driver Notes</t>
  </si>
  <si>
    <t xml:space="preserve">Spring/summer + new accounts</t>
  </si>
  <si>
    <t xml:space="preserve">Spring + new accounts</t>
  </si>
  <si>
    <t xml:space="preserve">Lower uplift - steady mover</t>
  </si>
  <si>
    <t xml:space="preserve">Highest uplift: hero SKU during playoffs</t>
  </si>
  <si>
    <t xml:space="preserve">LEGEND</t>
  </si>
  <si>
    <t xml:space="preserve">Stock ≥ Min × 1.2</t>
  </si>
  <si>
    <t xml:space="preserve">🟡 NEAR MIN</t>
  </si>
  <si>
    <t xml:space="preserve">Min ≤ Stock &lt; Min × 1.2</t>
  </si>
  <si>
    <t xml:space="preserve">🔴 BELOW MIN</t>
  </si>
  <si>
    <t xml:space="preserve">Stock &lt; Min — trigger production IMMEDIATELY</t>
  </si>
  <si>
    <t xml:space="preserve">MIN/MAX INVENTORY MODEL — VANIGLIA MANUFACTURER</t>
  </si>
  <si>
    <t xml:space="preserve">Blue text = adjustable inputs  |  Black text = Excel formulas  |  Yellow background = key assumptions</t>
  </si>
  <si>
    <t xml:space="preserve">SECTION 1 — GLOBAL PARAMETERS</t>
  </si>
  <si>
    <t xml:space="preserve">Batch size (units/run)</t>
  </si>
  <si>
    <t xml:space="preserve">Fixed production batch. 1 batch = 1 pallet = 240 cartons × 10 units</t>
  </si>
  <si>
    <t xml:space="preserve">Standard lead time (weeks)</t>
  </si>
  <si>
    <t xml:space="preserve">Vanilla, Chocolate, Mango: 1 week from order to warehouse delivery</t>
  </si>
  <si>
    <t xml:space="preserve">Pistachio lead time (weeks)</t>
  </si>
  <si>
    <t xml:space="preserve">Raw pistachio must be ordered 2 wks in advance — extended procurement cycle</t>
  </si>
  <si>
    <t xml:space="preserve">Safety stock multiplier (std)</t>
  </si>
  <si>
    <t xml:space="preserve">Weeks of demand held as safety buffer (standard flavors)</t>
  </si>
  <si>
    <t xml:space="preserve">Safety stock multiplier (pist)</t>
  </si>
  <si>
    <t xml:space="preserve">Weeks of demand held as safety buffer (Pistachio — double due to extended LT)</t>
  </si>
  <si>
    <t xml:space="preserve">Transition date</t>
  </si>
  <si>
    <t xml:space="preserve">01/05/2026</t>
  </si>
  <si>
    <t xml:space="preserve">Date distributors start ordering directly from Vaniglia</t>
  </si>
  <si>
    <t xml:space="preserve">SECTION 2 — MAY 2026 WEEKLY DEMAND (units/week)</t>
  </si>
  <si>
    <t xml:space="preserve">Apr Baseline
(wks)</t>
  </si>
  <si>
    <t xml:space="preserve">NBA/Summer
Uplift</t>
  </si>
  <si>
    <t xml:space="preserve">New Cust.
Uplift</t>
  </si>
  <si>
    <t xml:space="preserve">May Weekly
Forecast</t>
  </si>
  <si>
    <t xml:space="preserve">Monthly
(×4.3)</t>
  </si>
  <si>
    <t xml:space="preserve">Derivation / Source</t>
  </si>
  <si>
    <t xml:space="preserve">Karfree depletion Mar24→Apr19: 9,030u / 3.7wks = 2,441/wk; scaled to combined flow</t>
  </si>
  <si>
    <t xml:space="preserve">Karfree depletion Mar24→Apr19: 7,200u / 3.7wks = 1,946/wk; scaled to combined flow</t>
  </si>
  <si>
    <t xml:space="preserve">Karfree depletion Mar24→Apr19: 4,800u / 3.7wks = 1,297/wk; scaled to combined flow</t>
  </si>
  <si>
    <t xml:space="preserve">Estimated from distributor stock burns Apr12–15 (Ma'ayan 1,700u/3d); Ice W15 360u</t>
  </si>
  <si>
    <t xml:space="preserve">SECTION 3 — MIN/MAX CALCULATION TABLE</t>
  </si>
  <si>
    <t xml:space="preserve">Lead Time
(wks)</t>
  </si>
  <si>
    <t xml:space="preserve">Safety
Stock</t>
  </si>
  <si>
    <t xml:space="preserve">Lead Time
Demand</t>
  </si>
  <si>
    <t xml:space="preserve">MIN (ROP)
▲ Trigger</t>
  </si>
  <si>
    <t xml:space="preserve">Order Qty
(batches)</t>
  </si>
  <si>
    <t xml:space="preserve">MAX
▼ Target</t>
  </si>
  <si>
    <t xml:space="preserve">Min
(pallets)</t>
  </si>
  <si>
    <t xml:space="preserve">Max
(pallets)</t>
  </si>
  <si>
    <t xml:space="preserve">Batch
(pallets)</t>
  </si>
  <si>
    <t xml:space="preserve">Notes</t>
  </si>
  <si>
    <t xml:space="preserve">Standard 1-wk LT. Spring/summer + NBA uplift applied</t>
  </si>
  <si>
    <t xml:space="preserve">Standard 1-wk LT. Consistent mid-tier volume</t>
  </si>
  <si>
    <t xml:space="preserve">Standard 1-wk LT. Steadiest velocity, longest buffer at current stock</t>
  </si>
  <si>
    <t xml:space="preserve">⚠️ 2-wk LT — raw materials must be pre-ordered on rolling cadence</t>
  </si>
  <si>
    <t xml:space="preserve">SECTION 4 — MATHEMATICAL LOGIC</t>
  </si>
  <si>
    <t xml:space="preserve">Safety Stock</t>
  </si>
  <si>
    <t xml:space="preserve"> CEILING( Weekly Demand × SS Multiplier , Batch Size )</t>
  </si>
  <si>
    <t xml:space="preserve">Lead Time Demand</t>
  </si>
  <si>
    <t xml:space="preserve"> CEILING( Weekly Demand × Lead Time Weeks , Batch Size )</t>
  </si>
  <si>
    <t xml:space="preserve">MIN (Reorder Point)</t>
  </si>
  <si>
    <t xml:space="preserve"> Safety Stock + Lead Time Demand  ← HARD FLOOR — trigger production when stock hits this level</t>
  </si>
  <si>
    <t xml:space="preserve">Order Quantity (OQ)</t>
  </si>
  <si>
    <t xml:space="preserve"> CEILING( Weekly Demand × 1.5 , Batch Size )  ← covers 1.5 weeks per production run</t>
  </si>
  <si>
    <t xml:space="preserve">MAX (Order-Up-To Level)</t>
  </si>
  <si>
    <t xml:space="preserve"> MIN + Order Quantity  ← target stock after receiving a production run</t>
  </si>
  <si>
    <t xml:space="preserve">Pallets</t>
  </si>
  <si>
    <t xml:space="preserve"> MIN or MAX ÷ 2,400  (1 pallet = 240 cartons × 10 units)</t>
  </si>
  <si>
    <t xml:space="preserve">TRANSITION PHASE-IN PLAN — MAY 2026</t>
  </si>
  <si>
    <t xml:space="preserve">Shows when each flavor hits its Min and when Vaniglia must trigger the FIRST production run under the new model</t>
  </si>
  <si>
    <t xml:space="preserve">STEP 1 — CURRENT TOTAL STOCK (April 19, 2026)</t>
  </si>
  <si>
    <t xml:space="preserve">Karfree
(Apr 19)</t>
  </si>
  <si>
    <t xml:space="preserve">Icedream
(Apr 16)</t>
  </si>
  <si>
    <t xml:space="preserve">Ma'ayan
(Apr 15)</t>
  </si>
  <si>
    <t xml:space="preserve">Total Stock
(Apr 19)</t>
  </si>
  <si>
    <t xml:space="preserve">Data Source</t>
  </si>
  <si>
    <t xml:space="preserve">Karfree PDF 19/4/26; Ice 16/4/26; Ma'ayan 15/4/26</t>
  </si>
  <si>
    <t xml:space="preserve">STEP 2 — MAY 1 ESTIMATED STOCK &amp; FIRST PRODUCTION TRIGGER</t>
  </si>
  <si>
    <t xml:space="preserve">Projected by depleting current stock at May demand rate over the 12 days remaining until May 1</t>
  </si>
  <si>
    <t xml:space="preserve">Weekly
Demand (May)</t>
  </si>
  <si>
    <t xml:space="preserve">Days to May 1
(12 days)</t>
  </si>
  <si>
    <t xml:space="preserve">Est. Stock
May 1</t>
  </si>
  <si>
    <t xml:space="preserve">MIN
(ROP)</t>
  </si>
  <si>
    <t xml:space="preserve">Buffer
vs Min</t>
  </si>
  <si>
    <t xml:space="preserve">Weeks Until
Min Hit</t>
  </si>
  <si>
    <t xml:space="preserve">First ROP
Trigger Date</t>
  </si>
  <si>
    <t xml:space="preserve">First Production
Delivery</t>
  </si>
  <si>
    <t xml:space="preserve">Lead
Time</t>
  </si>
  <si>
    <t xml:space="preserve">Priority</t>
  </si>
  <si>
    <t xml:space="preserve">1</t>
  </si>
  <si>
    <t xml:space="preserve">🟡 WEEK 1</t>
  </si>
  <si>
    <t xml:space="preserve">🔴 IMMEDIATE</t>
  </si>
  <si>
    <t xml:space="preserve">🟢 SCHEDULED</t>
  </si>
  <si>
    <t xml:space="preserve">2</t>
  </si>
  <si>
    <t xml:space="preserve">STEP 3 — RECOMMENDED ACTIONS BEFORE MAY 1</t>
  </si>
  <si>
    <t xml:space="preserve">Action Date</t>
  </si>
  <si>
    <t xml:space="preserve">Required Action</t>
  </si>
  <si>
    <t xml:space="preserve">TODAY (Apr 19)</t>
  </si>
  <si>
    <t xml:space="preserve">🔴 Chocolate</t>
  </si>
  <si>
    <t xml:space="preserve">Total stock 10,890 → hits Min (7,200) by May 2. TRIGGER production ORDER IMMEDIATELY. 1-wk LT → deliver ~Apr 26.</t>
  </si>
  <si>
    <t xml:space="preserve">🔴 Pistachio</t>
  </si>
  <si>
    <t xml:space="preserve">Raw material order must go TODAY to Vaniglia. 2-wk lead means earliest delivery May 3. Stock 13,946 &gt; Min 9,600 — buffer exists but closing fast.</t>
  </si>
  <si>
    <t xml:space="preserve">Apr 28</t>
  </si>
  <si>
    <t xml:space="preserve">🟡 Vanilla</t>
  </si>
  <si>
    <t xml:space="preserve">Est. May 1 stock ~10,525 vs Min 9,600 — buffer of 925 units (~1.7 days). Trigger production no later than Apr 28 for May 5 delivery.</t>
  </si>
  <si>
    <t xml:space="preserve">May 1 (new model)</t>
  </si>
  <si>
    <t xml:space="preserve">🟢 Mango</t>
  </si>
  <si>
    <t xml:space="preserve">Est. May 1 stock ~19,366 vs Min 4,800. Over 7 weeks of cover. Monitor weekly; first trigger expected mid-July under base demand.</t>
  </si>
  <si>
    <t xml:space="preserve">PISTACHIO FLAVOR — SENSITIVITY ANALYSIS</t>
  </si>
  <si>
    <t xml:space="preserve">Analyzes impact of demand surge scenarios on Min/Max levels and stockout risk for the extended lead-time SKU</t>
  </si>
  <si>
    <t xml:space="preserve">SCENARIO COMPARISON TABLE</t>
  </si>
  <si>
    <t xml:space="preserve">Scenario</t>
  </si>
  <si>
    <t xml:space="preserve">Surge
Factor</t>
  </si>
  <si>
    <t xml:space="preserve">Weekly
Demand</t>
  </si>
  <si>
    <t xml:space="preserve">Safety Stock
(2wks)</t>
  </si>
  <si>
    <t xml:space="preserve">LT Demand
(2wks)</t>
  </si>
  <si>
    <t xml:space="preserve">MIN (ROP)</t>
  </si>
  <si>
    <t xml:space="preserve">Order Qty</t>
  </si>
  <si>
    <t xml:space="preserve">MAX</t>
  </si>
  <si>
    <t xml:space="preserve">Stockout Risk</t>
  </si>
  <si>
    <t xml:space="preserve">Base Case</t>
  </si>
  <si>
    <t xml:space="preserve">🟢 Low — 4.6 wks cover at Min</t>
  </si>
  <si>
    <t xml:space="preserve">+10% Uplift</t>
  </si>
  <si>
    <t xml:space="preserve">🟡 Moderate — 4.2 wks cover</t>
  </si>
  <si>
    <t xml:space="preserve">+20% Surge</t>
  </si>
  <si>
    <t xml:space="preserve">🔴 High — see mitigation below</t>
  </si>
  <si>
    <t xml:space="preserve">+30% Surge</t>
  </si>
  <si>
    <t xml:space="preserve">🔴 Critical — 3-wk cover only</t>
  </si>
  <si>
    <t xml:space="preserve">+20% SURGE — DETAILED IMPACT ANALYSIS</t>
  </si>
  <si>
    <t xml:space="preserve">Impact Area</t>
  </si>
  <si>
    <t xml:space="preserve">Quantified Effect</t>
  </si>
  <si>
    <t xml:space="preserve">Recommended Action</t>
  </si>
  <si>
    <t xml:space="preserve">Base Min vs Surge Min</t>
  </si>
  <si>
    <t xml:space="preserve">9,600 → 12,000 units (+25%)</t>
  </si>
  <si>
    <t xml:space="preserve">Current Min of 9,600 is INSUFFICIENT under a +20% surge. Must increase to 12,000 (5 pallets).</t>
  </si>
  <si>
    <t xml:space="preserve">Lead Time Coverage</t>
  </si>
  <si>
    <t xml:space="preserve">Closes from 4.6wks to 3.8wks</t>
  </si>
  <si>
    <t xml:space="preserve">With 2-wk LT and only 3.8 wks of cover at Min, a single missed production trigger causes stockout.</t>
  </si>
  <si>
    <t xml:space="preserve">Raw Material Window</t>
  </si>
  <si>
    <t xml:space="preserve">Shrinks from 2.6 to 1.8 wks</t>
  </si>
  <si>
    <t xml:space="preserve">Time between hitting ROP and needing raw material order compresses dangerously.</t>
  </si>
  <si>
    <t xml:space="preserve">Recommended Response</t>
  </si>
  <si>
    <t xml:space="preserve">Pre-position raw materials</t>
  </si>
  <si>
    <t xml:space="preserve">Place pistachio raw material orders on a STANDING WEEKLY/BI-WEEKLY cadence, independent of Min trigger.</t>
  </si>
  <si>
    <t xml:space="preserve">Soft Alert Threshold</t>
  </si>
  <si>
    <t xml:space="preserve">Set alert at 12,000 units</t>
  </si>
  <si>
    <t xml:space="preserve">When pistachio drops below 12,000 (even above Min), trigger raw material order immediately as early warning.</t>
  </si>
  <si>
    <t xml:space="preserve">NBA Playoffs Protocol</t>
  </si>
  <si>
    <t xml:space="preserve">Active during May–June '26</t>
  </si>
  <si>
    <t xml:space="preserve">If Deni's team advances to Conference Finals or NBA Finals, immediately produce 1 extra batch (2,400) of Pistachio.</t>
  </si>
  <si>
    <t xml:space="preserve">PISTACHIO STOCKOUT SIMULATION — +20% SURGE STARTING MAY 1</t>
  </si>
  <si>
    <t xml:space="preserve">Week</t>
  </si>
  <si>
    <t xml:space="preserve">Opening Stock</t>
  </si>
  <si>
    <t xml:space="preserve">Demand (surge)</t>
  </si>
  <si>
    <t xml:space="preserve">Closing Stock</t>
  </si>
  <si>
    <t xml:space="preserve">Min Level</t>
  </si>
  <si>
    <t xml:space="preserve">Trigger?</t>
  </si>
  <si>
    <t xml:space="preserve">Production In</t>
  </si>
  <si>
    <t xml:space="preserve">Stock After Recv.</t>
  </si>
  <si>
    <t xml:space="preserve">Week 1</t>
  </si>
  <si>
    <t xml:space="preserve">-</t>
  </si>
  <si>
    <t xml:space="preserve">Week 2</t>
  </si>
  <si>
    <t xml:space="preserve">YES →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</si>
  <si>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</si>
  <si>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</si>
  <si>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</si>
  <si>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</si>
  <si>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</si>
  <si>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</si>
  <si>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DATA SOURCES &amp; RAW INPUTS</t>
  </si>
  <si>
    <t xml:space="preserve">All raw numbers used in this model, with file sources</t>
  </si>
  <si>
    <t xml:space="preserve">INVENTORY DATA (exact figures from source files)</t>
  </si>
  <si>
    <t xml:space="preserve">Location</t>
  </si>
  <si>
    <t xml:space="preserve">Date</t>
  </si>
  <si>
    <t xml:space="preserve">Source File</t>
  </si>
  <si>
    <t xml:space="preserve">19-Apr-26</t>
  </si>
  <si>
    <t xml:space="preserve">data/karfree/stock18_4.pdf (929 pistachio cartons = 9,290u)</t>
  </si>
  <si>
    <t xml:space="preserve">Icedream Distributor</t>
  </si>
  <si>
    <t xml:space="preserve">16-Apr-26</t>
  </si>
  <si>
    <t xml:space="preserve">data/icedreams/stock_16_4.xlsx (cartons × pack size)</t>
  </si>
  <si>
    <t xml:space="preserve">Ma'ayan Distributor</t>
  </si>
  <si>
    <t xml:space="preserve">15-Apr-26</t>
  </si>
  <si>
    <t xml:space="preserve">data/mayyan/stock15_4.xlsx (individual units)</t>
  </si>
  <si>
    <t xml:space="preserve">DEMAND DATA (weekly totals)</t>
  </si>
  <si>
    <t xml:space="preserve">Period</t>
  </si>
  <si>
    <t xml:space="preserve">Distributor</t>
  </si>
  <si>
    <t xml:space="preserve">Total Units</t>
  </si>
  <si>
    <t xml:space="preserve">W14 (30-Mar – 5-Apr)</t>
  </si>
  <si>
    <t xml:space="preserve">Ma'ayan</t>
  </si>
  <si>
    <t xml:space="preserve">11,032</t>
  </si>
  <si>
    <t xml:space="preserve">High week — likely Passover pre-stocking</t>
  </si>
  <si>
    <t xml:space="preserve">data/mayyan/week14_15.xlsx col G</t>
  </si>
  <si>
    <t xml:space="preserve">W15 (6-Apr – 12-Apr)</t>
  </si>
  <si>
    <t xml:space="preserve">7,680</t>
  </si>
  <si>
    <t xml:space="preserve">Normal post-Passover week</t>
  </si>
  <si>
    <t xml:space="preserve">data/mayyan/week14_15.xlsx col H</t>
  </si>
  <si>
    <t xml:space="preserve">W15 (5-Apr – 9-Apr)</t>
  </si>
  <si>
    <t xml:space="preserve">Icedream</t>
  </si>
  <si>
    <t xml:space="preserve">1,000</t>
  </si>
  <si>
    <t xml:space="preserve">V:290 | Ch:320 | M:30 | Pi:360</t>
  </si>
  <si>
    <t xml:space="preserve">data/icedreams/week15.xlsx</t>
  </si>
  <si>
    <t xml:space="preserve">Mar24–Apr19 depletion</t>
  </si>
  <si>
    <t xml:space="preserve">Karfree</t>
  </si>
  <si>
    <t xml:space="preserve">Vanilla 9,030 | Choc 7,200 | Mango 4,800</t>
  </si>
  <si>
    <t xml:space="preserve">3.7-week window; pistachio received 1 batch (2,400u)</t>
  </si>
  <si>
    <t xml:space="preserve">Karfree PDF comparison</t>
  </si>
  <si>
    <t xml:space="preserve">W14 Apr12→15 Ma'ayan</t>
  </si>
  <si>
    <t xml:space="preserve">Ma'ayan stock delta</t>
  </si>
  <si>
    <t xml:space="preserve">Pi 1,700 / Mango 1,590 (3 days)</t>
  </si>
  <si>
    <t xml:space="preserve">High pistachio velocity; vanilla in deficit on Apr 12</t>
  </si>
  <si>
    <t xml:space="preserve">stock12_4.xlsx vs stock15_4.xlsx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</si>
</sst>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%"/>
    <numFmt numFmtId="168" formatCode="dd\-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8C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9E6"/>
      </patternFill>
    </fill>
    <fill>
      <patternFill patternType="solid">
        <fgColor rgb="FFE2EFDA"/>
        <bgColor rgb="FFEAF2E3"/>
      </patternFill>
    </fill>
    <fill>
      <patternFill patternType="solid">
        <fgColor rgb="FFF2F2F2"/>
        <bgColor rgb="FFEAF2E3"/>
      </patternFill>
    </fill>
    <fill>
      <patternFill patternType="solid">
        <fgColor rgb="FFEAF2E3"/>
        <bgColor rgb="FFE2EFDA"/>
      </patternFill>
    </fill>
    <fill>
      <patternFill patternType="solid">
        <fgColor rgb="FFFFF9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9E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EAF2E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3"/>
    <col collapsed="false" customWidth="true" hidden="false" outlineLevel="0" max="9" min="6" style="0" width="11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9.5" hidden="false" customHeight="true" outlineLevel="0" collapsed="false">
      <c r="A6" s="5" t="s">
        <v>13</v>
      </c>
      <c r="B6" s="6" t="n">
        <v>14400</v>
      </c>
      <c r="C6" s="6" t="n">
        <v>1090</v>
      </c>
      <c r="D6" s="6" t="n">
        <v>1495</v>
      </c>
      <c r="E6" s="7" t="n">
        <f aca="false">B6+C6+D6</f>
        <v>16985</v>
      </c>
      <c r="F6" s="6" t="n">
        <v>9600</v>
      </c>
      <c r="G6" s="6" t="n">
        <v>19200</v>
      </c>
      <c r="H6" s="8" t="n">
        <f aca="false">E6-F6</f>
        <v>7385</v>
      </c>
      <c r="I6" s="9" t="n">
        <f aca="false">16985/3800</f>
        <v>4.46973684210526</v>
      </c>
      <c r="J6" s="10" t="s">
        <v>14</v>
      </c>
    </row>
    <row r="7" customFormat="false" ht="19.5" hidden="false" customHeight="true" outlineLevel="0" collapsed="false">
      <c r="A7" s="11" t="s">
        <v>15</v>
      </c>
      <c r="B7" s="12" t="n">
        <v>7200</v>
      </c>
      <c r="C7" s="12" t="n">
        <v>1216</v>
      </c>
      <c r="D7" s="12" t="n">
        <v>2474</v>
      </c>
      <c r="E7" s="7" t="n">
        <f aca="false">B7+C7+D7</f>
        <v>10890</v>
      </c>
      <c r="F7" s="12" t="n">
        <v>7200</v>
      </c>
      <c r="G7" s="12" t="n">
        <v>14400</v>
      </c>
      <c r="H7" s="8" t="n">
        <f aca="false">E7-F7</f>
        <v>3690</v>
      </c>
      <c r="I7" s="13" t="n">
        <f aca="false">10890/3000</f>
        <v>3.63</v>
      </c>
      <c r="J7" s="10" t="s">
        <v>14</v>
      </c>
    </row>
    <row r="8" customFormat="false" ht="19.5" hidden="false" customHeight="true" outlineLevel="0" collapsed="false">
      <c r="A8" s="14" t="s">
        <v>16</v>
      </c>
      <c r="B8" s="15" t="n">
        <v>21600</v>
      </c>
      <c r="C8" s="15" t="n">
        <v>465</v>
      </c>
      <c r="D8" s="15" t="n">
        <v>701</v>
      </c>
      <c r="E8" s="7" t="n">
        <f aca="false">B8+C8+D8</f>
        <v>22766</v>
      </c>
      <c r="F8" s="15" t="n">
        <v>4800</v>
      </c>
      <c r="G8" s="15" t="n">
        <v>9600</v>
      </c>
      <c r="H8" s="8" t="n">
        <f aca="false">E8-F8</f>
        <v>17966</v>
      </c>
      <c r="I8" s="16" t="n">
        <f aca="false">22766/2000</f>
        <v>11.383</v>
      </c>
      <c r="J8" s="10" t="s">
        <v>14</v>
      </c>
    </row>
    <row r="9" customFormat="false" ht="19.5" hidden="false" customHeight="true" outlineLevel="0" collapsed="false">
      <c r="A9" s="17" t="s">
        <v>17</v>
      </c>
      <c r="B9" s="18" t="n">
        <v>9290</v>
      </c>
      <c r="C9" s="18" t="n">
        <v>1366</v>
      </c>
      <c r="D9" s="18" t="n">
        <v>3290</v>
      </c>
      <c r="E9" s="7" t="n">
        <f aca="false">B9+C9+D9</f>
        <v>13946</v>
      </c>
      <c r="F9" s="18" t="n">
        <v>9600</v>
      </c>
      <c r="G9" s="18" t="n">
        <v>14400</v>
      </c>
      <c r="H9" s="8" t="n">
        <f aca="false">E9-F9</f>
        <v>4346</v>
      </c>
      <c r="I9" s="19" t="n">
        <f aca="false">13946/2100</f>
        <v>6.64095238095238</v>
      </c>
      <c r="J9" s="10" t="s">
        <v>14</v>
      </c>
    </row>
    <row r="10" customFormat="false" ht="15" hidden="false" customHeight="false" outlineLevel="0" collapsed="false">
      <c r="A10" s="20" t="s">
        <v>18</v>
      </c>
      <c r="B10" s="21" t="n">
        <f aca="false">SUM(B6:B9)</f>
        <v>52490</v>
      </c>
      <c r="C10" s="21" t="n">
        <f aca="false">SUM(C6:C9)</f>
        <v>4137</v>
      </c>
      <c r="D10" s="21" t="n">
        <f aca="false">SUM(D6:D9)</f>
        <v>7960</v>
      </c>
      <c r="E10" s="21" t="n">
        <f aca="false">SUM(E6:E9)</f>
        <v>64587</v>
      </c>
      <c r="F10" s="21" t="n">
        <f aca="false">SUM(F6:F9)</f>
        <v>31200</v>
      </c>
      <c r="G10" s="21" t="n">
        <f aca="false">SUM(G6:G9)</f>
        <v>57600</v>
      </c>
      <c r="H10" s="21" t="n">
        <f aca="false">SUM(H6:H9)</f>
        <v>33387</v>
      </c>
      <c r="I10" s="22"/>
      <c r="J10" s="22"/>
    </row>
    <row r="12" customFormat="false" ht="21.75" hidden="false" customHeight="true" outlineLevel="0" collapsed="false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23" t="s">
        <v>20</v>
      </c>
      <c r="B13" s="23"/>
      <c r="C13" s="23"/>
      <c r="D13" s="23"/>
      <c r="E13" s="23"/>
      <c r="F13" s="23"/>
      <c r="G13" s="23"/>
      <c r="H13" s="23"/>
      <c r="I13" s="23"/>
      <c r="J13" s="23"/>
    </row>
    <row r="14" customFormat="false" ht="30" hidden="false" customHeight="true" outlineLevel="0" collapsed="false">
      <c r="A14" s="4" t="s">
        <v>3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</row>
    <row r="15" customFormat="false" ht="18" hidden="false" customHeight="true" outlineLevel="0" collapsed="false">
      <c r="A15" s="5" t="s">
        <v>13</v>
      </c>
      <c r="B15" s="24" t="n">
        <v>3000</v>
      </c>
      <c r="C15" s="25" t="n">
        <v>0.15</v>
      </c>
      <c r="D15" s="25" t="n">
        <v>0.1</v>
      </c>
      <c r="E15" s="7" t="n">
        <f aca="false">ROUND(B15*(1+C15+D15)/2400,0)*2400</f>
        <v>4800</v>
      </c>
      <c r="F15" s="6" t="n">
        <f aca="false">ROUND(E15*4.3/2400,0)*2400</f>
        <v>21600</v>
      </c>
      <c r="G15" s="26" t="s">
        <v>27</v>
      </c>
    </row>
    <row r="16" customFormat="false" ht="18" hidden="false" customHeight="true" outlineLevel="0" collapsed="false">
      <c r="A16" s="11" t="s">
        <v>15</v>
      </c>
      <c r="B16" s="24" t="n">
        <v>2400</v>
      </c>
      <c r="C16" s="25" t="n">
        <v>0.15</v>
      </c>
      <c r="D16" s="25" t="n">
        <v>0.1</v>
      </c>
      <c r="E16" s="7" t="n">
        <f aca="false">ROUND(B16*(1+C16+D16)/2400,0)*2400</f>
        <v>2400</v>
      </c>
      <c r="F16" s="6" t="n">
        <f aca="false">ROUND(E16*4.3/2400,0)*2400</f>
        <v>9600</v>
      </c>
      <c r="G16" s="27" t="s">
        <v>28</v>
      </c>
    </row>
    <row r="17" customFormat="false" ht="18" hidden="false" customHeight="true" outlineLevel="0" collapsed="false">
      <c r="A17" s="14" t="s">
        <v>16</v>
      </c>
      <c r="B17" s="24" t="n">
        <v>1600</v>
      </c>
      <c r="C17" s="25" t="n">
        <v>0.1</v>
      </c>
      <c r="D17" s="25" t="n">
        <v>0.1</v>
      </c>
      <c r="E17" s="7" t="n">
        <f aca="false">ROUND(B17*(1+C17+D17)/2400,0)*2400</f>
        <v>2400</v>
      </c>
      <c r="F17" s="6" t="n">
        <f aca="false">ROUND(E17*4.3/2400,0)*2400</f>
        <v>9600</v>
      </c>
      <c r="G17" s="28" t="s">
        <v>29</v>
      </c>
    </row>
    <row r="18" customFormat="false" ht="18" hidden="false" customHeight="true" outlineLevel="0" collapsed="false">
      <c r="A18" s="17" t="s">
        <v>17</v>
      </c>
      <c r="B18" s="24" t="n">
        <v>2100</v>
      </c>
      <c r="C18" s="25" t="n">
        <v>0.2</v>
      </c>
      <c r="D18" s="25" t="n">
        <v>0.1</v>
      </c>
      <c r="E18" s="7" t="n">
        <f aca="false">ROUND(B18*(1+C18+D18)/2400,0)*2400</f>
        <v>2400</v>
      </c>
      <c r="F18" s="6" t="n">
        <f aca="false">ROUND(E18*4.3/2400,0)*2400</f>
        <v>9600</v>
      </c>
      <c r="G18" s="29" t="s">
        <v>30</v>
      </c>
    </row>
    <row r="19" customFormat="false" ht="15" hidden="false" customHeight="false" outlineLevel="0" collapsed="false">
      <c r="A19" s="20" t="s">
        <v>18</v>
      </c>
      <c r="B19" s="22"/>
      <c r="C19" s="22"/>
      <c r="D19" s="22"/>
      <c r="E19" s="21" t="n">
        <f aca="false">SUM(E15:E18)</f>
        <v>12000</v>
      </c>
      <c r="F19" s="21" t="n">
        <f aca="false">SUM(F15:F18)</f>
        <v>50400</v>
      </c>
      <c r="G19" s="22"/>
    </row>
    <row r="21" customFormat="false" ht="18" hidden="false" customHeight="true" outlineLevel="0" collapsed="false">
      <c r="A21" s="30" t="s">
        <v>31</v>
      </c>
      <c r="B21" s="30"/>
      <c r="C21" s="30"/>
      <c r="D21" s="30"/>
    </row>
    <row r="22" customFormat="false" ht="15" hidden="false" customHeight="false" outlineLevel="0" collapsed="false">
      <c r="A22" s="31" t="s">
        <v>14</v>
      </c>
      <c r="B22" s="32" t="s">
        <v>32</v>
      </c>
      <c r="C22" s="31" t="s">
        <v>33</v>
      </c>
      <c r="D22" s="32" t="s">
        <v>34</v>
      </c>
      <c r="E22" s="31" t="s">
        <v>35</v>
      </c>
      <c r="F22" s="32" t="s">
        <v>36</v>
      </c>
    </row>
  </sheetData>
  <mergeCells count="6">
    <mergeCell ref="A1:J1"/>
    <mergeCell ref="A2:J2"/>
    <mergeCell ref="A4:J4"/>
    <mergeCell ref="A12:J12"/>
    <mergeCell ref="A13:J13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7" min="4" style="0" width="12"/>
    <col collapsed="false" customWidth="true" hidden="false" outlineLevel="0" max="10" min="8" style="0" width="9"/>
    <col collapsed="false" customWidth="true" hidden="false" outlineLevel="0" max="11" min="11" style="0" width="30"/>
  </cols>
  <sheetData>
    <row r="1" customFormat="false" ht="37.5" hidden="false" customHeight="true" outlineLevel="0" collapsed="false">
      <c r="A1" s="33" t="s">
        <v>37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customFormat="false" ht="18" hidden="false" customHeight="true" outlineLevel="0" collapsed="false">
      <c r="A2" s="34" t="s">
        <v>38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customFormat="false" ht="21.75" hidden="false" customHeight="true" outlineLevel="0" collapsed="false">
      <c r="A4" s="35" t="s">
        <v>39</v>
      </c>
      <c r="B4" s="35"/>
      <c r="C4" s="35"/>
      <c r="D4" s="35"/>
      <c r="E4" s="22"/>
      <c r="F4" s="22"/>
      <c r="G4" s="22"/>
      <c r="H4" s="22"/>
      <c r="I4" s="22"/>
      <c r="J4" s="22"/>
      <c r="K4" s="22"/>
    </row>
    <row r="5" customFormat="false" ht="18" hidden="false" customHeight="true" outlineLevel="0" collapsed="false">
      <c r="A5" s="11" t="s">
        <v>40</v>
      </c>
      <c r="B5" s="11"/>
      <c r="C5" s="24" t="n">
        <v>2400</v>
      </c>
      <c r="D5" s="36" t="s">
        <v>41</v>
      </c>
      <c r="E5" s="36"/>
      <c r="F5" s="36"/>
      <c r="G5" s="36"/>
      <c r="H5" s="36"/>
      <c r="I5" s="36"/>
      <c r="J5" s="36"/>
      <c r="K5" s="36"/>
    </row>
    <row r="6" customFormat="false" ht="18" hidden="false" customHeight="true" outlineLevel="0" collapsed="false">
      <c r="A6" s="11" t="s">
        <v>42</v>
      </c>
      <c r="B6" s="11"/>
      <c r="C6" s="24" t="n">
        <v>1</v>
      </c>
      <c r="D6" s="36" t="s">
        <v>43</v>
      </c>
      <c r="E6" s="36"/>
      <c r="F6" s="36"/>
      <c r="G6" s="36"/>
      <c r="H6" s="36"/>
      <c r="I6" s="36"/>
      <c r="J6" s="36"/>
      <c r="K6" s="36"/>
    </row>
    <row r="7" customFormat="false" ht="18" hidden="false" customHeight="true" outlineLevel="0" collapsed="false">
      <c r="A7" s="11" t="s">
        <v>44</v>
      </c>
      <c r="B7" s="11"/>
      <c r="C7" s="24" t="n">
        <v>2</v>
      </c>
      <c r="D7" s="36" t="s">
        <v>45</v>
      </c>
      <c r="E7" s="36"/>
      <c r="F7" s="36"/>
      <c r="G7" s="36"/>
      <c r="H7" s="36"/>
      <c r="I7" s="36"/>
      <c r="J7" s="36"/>
      <c r="K7" s="36"/>
    </row>
    <row r="8" customFormat="false" ht="18" hidden="false" customHeight="true" outlineLevel="0" collapsed="false">
      <c r="A8" s="11" t="s">
        <v>46</v>
      </c>
      <c r="B8" s="11"/>
      <c r="C8" s="24" t="n">
        <v>1</v>
      </c>
      <c r="D8" s="36" t="s">
        <v>47</v>
      </c>
      <c r="E8" s="36"/>
      <c r="F8" s="36"/>
      <c r="G8" s="36"/>
      <c r="H8" s="36"/>
      <c r="I8" s="36"/>
      <c r="J8" s="36"/>
      <c r="K8" s="36"/>
    </row>
    <row r="9" customFormat="false" ht="18" hidden="false" customHeight="true" outlineLevel="0" collapsed="false">
      <c r="A9" s="11" t="s">
        <v>48</v>
      </c>
      <c r="B9" s="11"/>
      <c r="C9" s="24" t="n">
        <v>2</v>
      </c>
      <c r="D9" s="36" t="s">
        <v>49</v>
      </c>
      <c r="E9" s="36"/>
      <c r="F9" s="36"/>
      <c r="G9" s="36"/>
      <c r="H9" s="36"/>
      <c r="I9" s="36"/>
      <c r="J9" s="36"/>
      <c r="K9" s="36"/>
    </row>
    <row r="10" customFormat="false" ht="18" hidden="false" customHeight="true" outlineLevel="0" collapsed="false">
      <c r="A10" s="11" t="s">
        <v>50</v>
      </c>
      <c r="B10" s="11"/>
      <c r="C10" s="37" t="s">
        <v>51</v>
      </c>
      <c r="D10" s="36" t="s">
        <v>52</v>
      </c>
      <c r="E10" s="36"/>
      <c r="F10" s="36"/>
      <c r="G10" s="36"/>
      <c r="H10" s="36"/>
      <c r="I10" s="36"/>
      <c r="J10" s="36"/>
      <c r="K10" s="36"/>
    </row>
    <row r="12" customFormat="false" ht="21.75" hidden="false" customHeight="true" outlineLevel="0" collapsed="false">
      <c r="A12" s="35" t="s">
        <v>53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customFormat="false" ht="34.5" hidden="false" customHeight="true" outlineLevel="0" collapsed="false">
      <c r="A13" s="38" t="s">
        <v>3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58</v>
      </c>
      <c r="G13" s="4" t="s">
        <v>59</v>
      </c>
      <c r="H13" s="22"/>
      <c r="I13" s="22"/>
      <c r="J13" s="22"/>
      <c r="K13" s="22"/>
    </row>
    <row r="14" customFormat="false" ht="21.75" hidden="false" customHeight="true" outlineLevel="0" collapsed="false">
      <c r="A14" s="5" t="s">
        <v>13</v>
      </c>
      <c r="B14" s="24" t="n">
        <v>3000</v>
      </c>
      <c r="C14" s="25" t="n">
        <v>0.15</v>
      </c>
      <c r="D14" s="25" t="n">
        <v>0.1</v>
      </c>
      <c r="E14" s="7" t="n">
        <f aca="false">ROUND(B14*(1+C14+D14)/C$5,0)*C$5</f>
        <v>4800</v>
      </c>
      <c r="F14" s="6" t="n">
        <f aca="false">ROUND(E14*4.3/C$5,0)*C$5</f>
        <v>21600</v>
      </c>
      <c r="G14" s="39" t="s">
        <v>60</v>
      </c>
      <c r="H14" s="39"/>
      <c r="I14" s="39"/>
      <c r="J14" s="39"/>
      <c r="K14" s="39"/>
    </row>
    <row r="15" customFormat="false" ht="21.75" hidden="false" customHeight="true" outlineLevel="0" collapsed="false">
      <c r="A15" s="11" t="s">
        <v>15</v>
      </c>
      <c r="B15" s="24" t="n">
        <v>2400</v>
      </c>
      <c r="C15" s="25" t="n">
        <v>0.15</v>
      </c>
      <c r="D15" s="25" t="n">
        <v>0.1</v>
      </c>
      <c r="E15" s="7" t="n">
        <f aca="false">ROUND(B15*(1+C15+D15)/C$5,0)*C$5</f>
        <v>2400</v>
      </c>
      <c r="F15" s="6" t="n">
        <f aca="false">ROUND(E15*4.3/C$5,0)*C$5</f>
        <v>9600</v>
      </c>
      <c r="G15" s="39" t="s">
        <v>61</v>
      </c>
      <c r="H15" s="39"/>
      <c r="I15" s="39"/>
      <c r="J15" s="39"/>
      <c r="K15" s="39"/>
    </row>
    <row r="16" customFormat="false" ht="21.75" hidden="false" customHeight="true" outlineLevel="0" collapsed="false">
      <c r="A16" s="14" t="s">
        <v>16</v>
      </c>
      <c r="B16" s="24" t="n">
        <v>1600</v>
      </c>
      <c r="C16" s="25" t="n">
        <v>0.1</v>
      </c>
      <c r="D16" s="25" t="n">
        <v>0.1</v>
      </c>
      <c r="E16" s="7" t="n">
        <f aca="false">ROUND(B16*(1+C16+D16)/C$5,0)*C$5</f>
        <v>2400</v>
      </c>
      <c r="F16" s="6" t="n">
        <f aca="false">ROUND(E16*4.3/C$5,0)*C$5</f>
        <v>9600</v>
      </c>
      <c r="G16" s="39" t="s">
        <v>62</v>
      </c>
      <c r="H16" s="39"/>
      <c r="I16" s="39"/>
      <c r="J16" s="39"/>
      <c r="K16" s="39"/>
    </row>
    <row r="17" customFormat="false" ht="21.75" hidden="false" customHeight="true" outlineLevel="0" collapsed="false">
      <c r="A17" s="17" t="s">
        <v>17</v>
      </c>
      <c r="B17" s="24" t="n">
        <v>2100</v>
      </c>
      <c r="C17" s="25" t="n">
        <v>0.2</v>
      </c>
      <c r="D17" s="25" t="n">
        <v>0.1</v>
      </c>
      <c r="E17" s="7" t="n">
        <f aca="false">ROUND(B17*(1+C17+D17)/C$5,0)*C$5</f>
        <v>2400</v>
      </c>
      <c r="F17" s="6" t="n">
        <f aca="false">ROUND(E17*4.3/C$5,0)*C$5</f>
        <v>9600</v>
      </c>
      <c r="G17" s="39" t="s">
        <v>63</v>
      </c>
      <c r="H17" s="39"/>
      <c r="I17" s="39"/>
      <c r="J17" s="39"/>
      <c r="K17" s="39"/>
    </row>
    <row r="18" customFormat="false" ht="15" hidden="false" customHeight="false" outlineLevel="0" collapsed="false">
      <c r="A18" s="20" t="s">
        <v>18</v>
      </c>
      <c r="B18" s="22"/>
      <c r="C18" s="22"/>
      <c r="D18" s="22"/>
      <c r="E18" s="21" t="n">
        <f aca="false">SUM(E14:E17)</f>
        <v>12000</v>
      </c>
      <c r="F18" s="21" t="n">
        <f aca="false">SUM(F14:F17)</f>
        <v>50400</v>
      </c>
      <c r="G18" s="22"/>
      <c r="H18" s="22"/>
      <c r="I18" s="22"/>
      <c r="J18" s="22"/>
      <c r="K18" s="22"/>
    </row>
    <row r="20" customFormat="false" ht="21.75" hidden="false" customHeight="true" outlineLevel="0" collapsed="false">
      <c r="A20" s="3" t="s">
        <v>64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39.75" hidden="false" customHeight="true" outlineLevel="0" collapsed="false">
      <c r="A21" s="4" t="s">
        <v>3</v>
      </c>
      <c r="B21" s="4" t="s">
        <v>65</v>
      </c>
      <c r="C21" s="4" t="s">
        <v>66</v>
      </c>
      <c r="D21" s="4" t="s">
        <v>67</v>
      </c>
      <c r="E21" s="4" t="s">
        <v>68</v>
      </c>
      <c r="F21" s="4" t="s">
        <v>69</v>
      </c>
      <c r="G21" s="4" t="s">
        <v>70</v>
      </c>
      <c r="H21" s="4" t="s">
        <v>71</v>
      </c>
      <c r="I21" s="4" t="s">
        <v>72</v>
      </c>
      <c r="J21" s="4" t="s">
        <v>73</v>
      </c>
      <c r="K21" s="4" t="s">
        <v>74</v>
      </c>
    </row>
    <row r="22" customFormat="false" ht="21.75" hidden="false" customHeight="true" outlineLevel="0" collapsed="false">
      <c r="A22" s="5" t="s">
        <v>13</v>
      </c>
      <c r="B22" s="8" t="n">
        <f aca="false">C$6</f>
        <v>1</v>
      </c>
      <c r="C22" s="8" t="n">
        <f aca="false">CEILING(E14*C$8,C$5)</f>
        <v>4800</v>
      </c>
      <c r="D22" s="8" t="n">
        <f aca="false">CEILING(E14*C$6,C$5)</f>
        <v>4800</v>
      </c>
      <c r="E22" s="21" t="n">
        <f aca="false">C22+D22</f>
        <v>9600</v>
      </c>
      <c r="F22" s="8" t="n">
        <f aca="false">CEILING(E14*1.5,C$5)</f>
        <v>7200</v>
      </c>
      <c r="G22" s="21" t="n">
        <f aca="false">E22+F22</f>
        <v>16800</v>
      </c>
      <c r="H22" s="8" t="n">
        <f aca="false">E22/C$5</f>
        <v>4</v>
      </c>
      <c r="I22" s="8" t="n">
        <f aca="false">G22/C$5</f>
        <v>7</v>
      </c>
      <c r="J22" s="8" t="n">
        <f aca="false">F22/C$5</f>
        <v>3</v>
      </c>
      <c r="K22" s="40" t="s">
        <v>75</v>
      </c>
    </row>
    <row r="23" customFormat="false" ht="21.75" hidden="false" customHeight="true" outlineLevel="0" collapsed="false">
      <c r="A23" s="11" t="s">
        <v>15</v>
      </c>
      <c r="B23" s="8" t="n">
        <f aca="false">C$6</f>
        <v>1</v>
      </c>
      <c r="C23" s="8" t="n">
        <f aca="false">CEILING(E15*C$8,C$5)</f>
        <v>2400</v>
      </c>
      <c r="D23" s="8" t="n">
        <f aca="false">CEILING(E15*C$6,C$5)</f>
        <v>2400</v>
      </c>
      <c r="E23" s="21" t="n">
        <f aca="false">C23+D23</f>
        <v>4800</v>
      </c>
      <c r="F23" s="8" t="n">
        <f aca="false">CEILING(E15*1.5,C$5)</f>
        <v>4800</v>
      </c>
      <c r="G23" s="21" t="n">
        <f aca="false">E23+F23</f>
        <v>9600</v>
      </c>
      <c r="H23" s="8" t="n">
        <f aca="false">E23/C$5</f>
        <v>2</v>
      </c>
      <c r="I23" s="8" t="n">
        <f aca="false">G23/C$5</f>
        <v>4</v>
      </c>
      <c r="J23" s="8" t="n">
        <f aca="false">F23/C$5</f>
        <v>2</v>
      </c>
      <c r="K23" s="41" t="s">
        <v>76</v>
      </c>
    </row>
    <row r="24" customFormat="false" ht="21.75" hidden="false" customHeight="true" outlineLevel="0" collapsed="false">
      <c r="A24" s="14" t="s">
        <v>16</v>
      </c>
      <c r="B24" s="8" t="n">
        <f aca="false">C$6</f>
        <v>1</v>
      </c>
      <c r="C24" s="8" t="n">
        <f aca="false">CEILING(E16*C$8,C$5)</f>
        <v>2400</v>
      </c>
      <c r="D24" s="8" t="n">
        <f aca="false">CEILING(E16*C$6,C$5)</f>
        <v>2400</v>
      </c>
      <c r="E24" s="21" t="n">
        <f aca="false">C24+D24</f>
        <v>4800</v>
      </c>
      <c r="F24" s="8" t="n">
        <f aca="false">CEILING(E16*1.5,C$5)</f>
        <v>4800</v>
      </c>
      <c r="G24" s="21" t="n">
        <f aca="false">E24+F24</f>
        <v>9600</v>
      </c>
      <c r="H24" s="8" t="n">
        <f aca="false">E24/C$5</f>
        <v>2</v>
      </c>
      <c r="I24" s="8" t="n">
        <f aca="false">G24/C$5</f>
        <v>4</v>
      </c>
      <c r="J24" s="8" t="n">
        <f aca="false">F24/C$5</f>
        <v>2</v>
      </c>
      <c r="K24" s="42" t="s">
        <v>77</v>
      </c>
    </row>
    <row r="25" customFormat="false" ht="21.75" hidden="false" customHeight="true" outlineLevel="0" collapsed="false">
      <c r="A25" s="17" t="s">
        <v>17</v>
      </c>
      <c r="B25" s="8" t="n">
        <f aca="false">C$7</f>
        <v>2</v>
      </c>
      <c r="C25" s="8" t="n">
        <f aca="false">CEILING(E17*C$9,C$5)</f>
        <v>4800</v>
      </c>
      <c r="D25" s="8" t="n">
        <f aca="false">CEILING(E17*C$7,C$5)</f>
        <v>4800</v>
      </c>
      <c r="E25" s="21" t="n">
        <f aca="false">C25+D25</f>
        <v>9600</v>
      </c>
      <c r="F25" s="8" t="n">
        <f aca="false">CEILING(E17*1.5,C$5)</f>
        <v>4800</v>
      </c>
      <c r="G25" s="21" t="n">
        <f aca="false">E25+F25</f>
        <v>14400</v>
      </c>
      <c r="H25" s="8" t="n">
        <f aca="false">E25/C$5</f>
        <v>4</v>
      </c>
      <c r="I25" s="8" t="n">
        <f aca="false">G25/C$5</f>
        <v>6</v>
      </c>
      <c r="J25" s="8" t="n">
        <f aca="false">F25/C$5</f>
        <v>2</v>
      </c>
      <c r="K25" s="43" t="s">
        <v>78</v>
      </c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8" customFormat="false" ht="21.75" hidden="false" customHeight="true" outlineLevel="0" collapsed="false">
      <c r="A28" s="35" t="s">
        <v>79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customFormat="false" ht="18" hidden="false" customHeight="true" outlineLevel="0" collapsed="false">
      <c r="A29" s="11" t="s">
        <v>80</v>
      </c>
      <c r="B29" s="11"/>
      <c r="C29" s="44" t="s">
        <v>81</v>
      </c>
      <c r="D29" s="44"/>
      <c r="E29" s="44"/>
      <c r="F29" s="44"/>
      <c r="G29" s="44"/>
      <c r="H29" s="44"/>
      <c r="I29" s="44"/>
      <c r="J29" s="44"/>
      <c r="K29" s="44"/>
    </row>
    <row r="30" customFormat="false" ht="18" hidden="false" customHeight="true" outlineLevel="0" collapsed="false">
      <c r="A30" s="11" t="s">
        <v>82</v>
      </c>
      <c r="B30" s="11"/>
      <c r="C30" s="44" t="s">
        <v>83</v>
      </c>
      <c r="D30" s="44"/>
      <c r="E30" s="44"/>
      <c r="F30" s="44"/>
      <c r="G30" s="44"/>
      <c r="H30" s="44"/>
      <c r="I30" s="44"/>
      <c r="J30" s="44"/>
      <c r="K30" s="44"/>
    </row>
    <row r="31" customFormat="false" ht="18" hidden="false" customHeight="true" outlineLevel="0" collapsed="false">
      <c r="A31" s="11" t="s">
        <v>84</v>
      </c>
      <c r="B31" s="11"/>
      <c r="C31" s="44" t="s">
        <v>85</v>
      </c>
      <c r="D31" s="44"/>
      <c r="E31" s="44"/>
      <c r="F31" s="44"/>
      <c r="G31" s="44"/>
      <c r="H31" s="44"/>
      <c r="I31" s="44"/>
      <c r="J31" s="44"/>
      <c r="K31" s="44"/>
    </row>
    <row r="32" customFormat="false" ht="18" hidden="false" customHeight="true" outlineLevel="0" collapsed="false">
      <c r="A32" s="11" t="s">
        <v>86</v>
      </c>
      <c r="B32" s="11"/>
      <c r="C32" s="44" t="s">
        <v>87</v>
      </c>
      <c r="D32" s="44"/>
      <c r="E32" s="44"/>
      <c r="F32" s="44"/>
      <c r="G32" s="44"/>
      <c r="H32" s="44"/>
      <c r="I32" s="44"/>
      <c r="J32" s="44"/>
      <c r="K32" s="44"/>
    </row>
    <row r="33" customFormat="false" ht="18" hidden="false" customHeight="true" outlineLevel="0" collapsed="false">
      <c r="A33" s="11" t="s">
        <v>88</v>
      </c>
      <c r="B33" s="11"/>
      <c r="C33" s="44" t="s">
        <v>89</v>
      </c>
      <c r="D33" s="44"/>
      <c r="E33" s="44"/>
      <c r="F33" s="44"/>
      <c r="G33" s="44"/>
      <c r="H33" s="44"/>
      <c r="I33" s="44"/>
      <c r="J33" s="44"/>
      <c r="K33" s="44"/>
    </row>
    <row r="34" customFormat="false" ht="18" hidden="false" customHeight="true" outlineLevel="0" collapsed="false">
      <c r="A34" s="11" t="s">
        <v>90</v>
      </c>
      <c r="B34" s="11"/>
      <c r="C34" s="44" t="s">
        <v>91</v>
      </c>
      <c r="D34" s="44"/>
      <c r="E34" s="44"/>
      <c r="F34" s="44"/>
      <c r="G34" s="44"/>
      <c r="H34" s="44"/>
      <c r="I34" s="44"/>
      <c r="J34" s="44"/>
      <c r="K34" s="44"/>
    </row>
  </sheetData>
  <mergeCells count="34">
    <mergeCell ref="A1:K1"/>
    <mergeCell ref="A2:K2"/>
    <mergeCell ref="A4:D4"/>
    <mergeCell ref="A5:B5"/>
    <mergeCell ref="D5:K5"/>
    <mergeCell ref="A6:B6"/>
    <mergeCell ref="D6:K6"/>
    <mergeCell ref="A7:B7"/>
    <mergeCell ref="D7:K7"/>
    <mergeCell ref="A8:B8"/>
    <mergeCell ref="D8:K8"/>
    <mergeCell ref="A9:B9"/>
    <mergeCell ref="D9:K9"/>
    <mergeCell ref="A10:B10"/>
    <mergeCell ref="D10:K10"/>
    <mergeCell ref="A12:K12"/>
    <mergeCell ref="G14:K14"/>
    <mergeCell ref="G15:K15"/>
    <mergeCell ref="G16:K16"/>
    <mergeCell ref="G17:K17"/>
    <mergeCell ref="A20:K20"/>
    <mergeCell ref="A28:K28"/>
    <mergeCell ref="A29:B29"/>
    <mergeCell ref="C29:K29"/>
    <mergeCell ref="A30:B30"/>
    <mergeCell ref="C30:K30"/>
    <mergeCell ref="A31:B31"/>
    <mergeCell ref="C31:K31"/>
    <mergeCell ref="A32:B32"/>
    <mergeCell ref="C32:K32"/>
    <mergeCell ref="A33:B33"/>
    <mergeCell ref="C33:K33"/>
    <mergeCell ref="A34:B34"/>
    <mergeCell ref="C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37.5" hidden="false" customHeight="true" outlineLevel="0" collapsed="false">
      <c r="A1" s="33" t="s">
        <v>92</v>
      </c>
      <c r="B1" s="33"/>
      <c r="C1" s="33"/>
      <c r="D1" s="33"/>
      <c r="E1" s="33"/>
      <c r="F1" s="33"/>
      <c r="G1" s="33"/>
      <c r="H1" s="33"/>
      <c r="I1" s="33"/>
      <c r="J1" s="33"/>
    </row>
    <row r="2" customFormat="false" ht="15" hidden="false" customHeight="false" outlineLevel="0" collapsed="false">
      <c r="A2" s="34" t="s">
        <v>93</v>
      </c>
      <c r="B2" s="34"/>
      <c r="C2" s="34"/>
      <c r="D2" s="34"/>
      <c r="E2" s="34"/>
      <c r="F2" s="34"/>
      <c r="G2" s="34"/>
      <c r="H2" s="34"/>
      <c r="I2" s="34"/>
      <c r="J2" s="34"/>
    </row>
    <row r="4" customFormat="false" ht="21.75" hidden="false" customHeight="true" outlineLevel="0" collapsed="false">
      <c r="A4" s="3" t="s">
        <v>94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4" t="s">
        <v>3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  <c r="G5" s="22"/>
      <c r="H5" s="22"/>
      <c r="I5" s="22"/>
      <c r="J5" s="22"/>
    </row>
    <row r="6" customFormat="false" ht="19.5" hidden="false" customHeight="true" outlineLevel="0" collapsed="false">
      <c r="A6" s="5" t="s">
        <v>13</v>
      </c>
      <c r="B6" s="6" t="n">
        <v>14400</v>
      </c>
      <c r="C6" s="6" t="n">
        <v>1090</v>
      </c>
      <c r="D6" s="6" t="n">
        <v>1495</v>
      </c>
      <c r="E6" s="7" t="n">
        <f aca="false">B6+C6+D6</f>
        <v>16985</v>
      </c>
      <c r="F6" s="45" t="s">
        <v>100</v>
      </c>
      <c r="G6" s="45"/>
      <c r="H6" s="45"/>
      <c r="I6" s="45"/>
      <c r="J6" s="45"/>
    </row>
    <row r="7" customFormat="false" ht="19.5" hidden="false" customHeight="true" outlineLevel="0" collapsed="false">
      <c r="A7" s="11" t="s">
        <v>15</v>
      </c>
      <c r="B7" s="12" t="n">
        <v>7200</v>
      </c>
      <c r="C7" s="12" t="n">
        <v>1216</v>
      </c>
      <c r="D7" s="12" t="n">
        <v>2474</v>
      </c>
      <c r="E7" s="7" t="n">
        <f aca="false">B7+C7+D7</f>
        <v>10890</v>
      </c>
      <c r="F7" s="45" t="s">
        <v>100</v>
      </c>
      <c r="G7" s="45"/>
      <c r="H7" s="45"/>
      <c r="I7" s="45"/>
      <c r="J7" s="45"/>
    </row>
    <row r="8" customFormat="false" ht="19.5" hidden="false" customHeight="true" outlineLevel="0" collapsed="false">
      <c r="A8" s="14" t="s">
        <v>16</v>
      </c>
      <c r="B8" s="15" t="n">
        <v>21600</v>
      </c>
      <c r="C8" s="15" t="n">
        <v>465</v>
      </c>
      <c r="D8" s="15" t="n">
        <v>701</v>
      </c>
      <c r="E8" s="7" t="n">
        <f aca="false">B8+C8+D8</f>
        <v>22766</v>
      </c>
      <c r="F8" s="45" t="s">
        <v>100</v>
      </c>
      <c r="G8" s="45"/>
      <c r="H8" s="45"/>
      <c r="I8" s="45"/>
      <c r="J8" s="45"/>
    </row>
    <row r="9" customFormat="false" ht="19.5" hidden="false" customHeight="true" outlineLevel="0" collapsed="false">
      <c r="A9" s="17" t="s">
        <v>17</v>
      </c>
      <c r="B9" s="18" t="n">
        <v>9290</v>
      </c>
      <c r="C9" s="18" t="n">
        <v>1366</v>
      </c>
      <c r="D9" s="18" t="n">
        <v>3290</v>
      </c>
      <c r="E9" s="7" t="n">
        <f aca="false">B9+C9+D9</f>
        <v>13946</v>
      </c>
      <c r="F9" s="45" t="s">
        <v>100</v>
      </c>
      <c r="G9" s="45"/>
      <c r="H9" s="45"/>
      <c r="I9" s="45"/>
      <c r="J9" s="45"/>
    </row>
    <row r="10" customFormat="false" ht="15" hidden="false" customHeight="false" outlineLevel="0" collapsed="false">
      <c r="A10" s="20" t="s">
        <v>18</v>
      </c>
      <c r="B10" s="21" t="n">
        <f aca="false">SUM(B6:B9)</f>
        <v>52490</v>
      </c>
      <c r="C10" s="21" t="n">
        <f aca="false">SUM(C6:C9)</f>
        <v>4137</v>
      </c>
      <c r="D10" s="21" t="n">
        <f aca="false">SUM(D6:D9)</f>
        <v>7960</v>
      </c>
      <c r="E10" s="21" t="n">
        <f aca="false">SUM(E6:E9)</f>
        <v>64587</v>
      </c>
      <c r="F10" s="22"/>
      <c r="G10" s="22"/>
      <c r="H10" s="22"/>
      <c r="I10" s="22"/>
      <c r="J10" s="22"/>
    </row>
    <row r="12" customFormat="false" ht="21.75" hidden="false" customHeight="true" outlineLevel="0" collapsed="false">
      <c r="A12" s="3" t="s">
        <v>101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46" t="s">
        <v>102</v>
      </c>
      <c r="B13" s="46"/>
      <c r="C13" s="46"/>
      <c r="D13" s="46"/>
      <c r="E13" s="46"/>
      <c r="F13" s="46"/>
      <c r="G13" s="46"/>
      <c r="H13" s="46"/>
      <c r="I13" s="46"/>
      <c r="J13" s="46"/>
    </row>
    <row r="14" customFormat="false" ht="39.75" hidden="false" customHeight="true" outlineLevel="0" collapsed="false">
      <c r="A14" s="4" t="s">
        <v>3</v>
      </c>
      <c r="B14" s="4" t="s">
        <v>98</v>
      </c>
      <c r="C14" s="4" t="s">
        <v>103</v>
      </c>
      <c r="D14" s="4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109</v>
      </c>
      <c r="J14" s="4" t="s">
        <v>110</v>
      </c>
      <c r="K14" s="4" t="s">
        <v>111</v>
      </c>
      <c r="L14" s="4" t="s">
        <v>112</v>
      </c>
    </row>
    <row r="15" customFormat="false" ht="21.75" hidden="false" customHeight="true" outlineLevel="0" collapsed="false">
      <c r="A15" s="5" t="s">
        <v>13</v>
      </c>
      <c r="B15" s="8" t="n">
        <f aca="false">E6</f>
        <v>16985</v>
      </c>
      <c r="C15" s="8" t="n">
        <v>3800</v>
      </c>
      <c r="D15" s="47" t="n">
        <v>12</v>
      </c>
      <c r="E15" s="8" t="n">
        <f aca="false">ROUND(B15-C15*(D15/7),0)</f>
        <v>10471</v>
      </c>
      <c r="F15" s="8" t="n">
        <v>9600</v>
      </c>
      <c r="G15" s="8" t="n">
        <f aca="false">E15-F15</f>
        <v>871</v>
      </c>
      <c r="H15" s="48" t="n">
        <f aca="false">MAX(0,(E15-F15)/C15)</f>
        <v>0.229210526315789</v>
      </c>
      <c r="I15" s="49" t="n">
        <f aca="false">DATE(2026,5,1)+H15*7</f>
        <v>46144.6044736842</v>
      </c>
      <c r="J15" s="50" t="n">
        <f aca="false">I15+1*7</f>
        <v>46151.6044736842</v>
      </c>
      <c r="K15" s="8" t="s">
        <v>113</v>
      </c>
      <c r="L15" s="51" t="s">
        <v>114</v>
      </c>
    </row>
    <row r="16" customFormat="false" ht="21.75" hidden="false" customHeight="true" outlineLevel="0" collapsed="false">
      <c r="A16" s="11" t="s">
        <v>15</v>
      </c>
      <c r="B16" s="8" t="n">
        <f aca="false">E7</f>
        <v>10890</v>
      </c>
      <c r="C16" s="8" t="n">
        <v>3000</v>
      </c>
      <c r="D16" s="47" t="n">
        <v>12</v>
      </c>
      <c r="E16" s="8" t="n">
        <f aca="false">ROUND(B16-C16*(D16/7),0)</f>
        <v>5747</v>
      </c>
      <c r="F16" s="8" t="n">
        <v>7200</v>
      </c>
      <c r="G16" s="8" t="n">
        <f aca="false">E16-F16</f>
        <v>-1453</v>
      </c>
      <c r="H16" s="48" t="n">
        <f aca="false">MAX(0,(E16-F16)/C16)</f>
        <v>0</v>
      </c>
      <c r="I16" s="49" t="n">
        <f aca="false">DATE(2026,5,1)+H16*7</f>
        <v>46143</v>
      </c>
      <c r="J16" s="50" t="n">
        <f aca="false">I16+1*7</f>
        <v>46150</v>
      </c>
      <c r="K16" s="8" t="s">
        <v>113</v>
      </c>
      <c r="L16" s="52" t="s">
        <v>115</v>
      </c>
    </row>
    <row r="17" customFormat="false" ht="21.75" hidden="false" customHeight="true" outlineLevel="0" collapsed="false">
      <c r="A17" s="14" t="s">
        <v>16</v>
      </c>
      <c r="B17" s="8" t="n">
        <f aca="false">E8</f>
        <v>22766</v>
      </c>
      <c r="C17" s="8" t="n">
        <v>2000</v>
      </c>
      <c r="D17" s="47" t="n">
        <v>12</v>
      </c>
      <c r="E17" s="8" t="n">
        <f aca="false">ROUND(B17-C17*(D17/7),0)</f>
        <v>19337</v>
      </c>
      <c r="F17" s="8" t="n">
        <v>4800</v>
      </c>
      <c r="G17" s="8" t="n">
        <f aca="false">E17-F17</f>
        <v>14537</v>
      </c>
      <c r="H17" s="48" t="n">
        <f aca="false">MAX(0,(E17-F17)/C17)</f>
        <v>7.2685</v>
      </c>
      <c r="I17" s="49" t="n">
        <f aca="false">DATE(2026,5,1)+H17*7</f>
        <v>46193.8795</v>
      </c>
      <c r="J17" s="50" t="n">
        <f aca="false">I17+1*7</f>
        <v>46200.8795</v>
      </c>
      <c r="K17" s="8" t="s">
        <v>113</v>
      </c>
      <c r="L17" s="10" t="s">
        <v>116</v>
      </c>
    </row>
    <row r="18" customFormat="false" ht="21.75" hidden="false" customHeight="true" outlineLevel="0" collapsed="false">
      <c r="A18" s="17" t="s">
        <v>17</v>
      </c>
      <c r="B18" s="8" t="n">
        <f aca="false">E9</f>
        <v>13946</v>
      </c>
      <c r="C18" s="8" t="n">
        <v>2100</v>
      </c>
      <c r="D18" s="47" t="n">
        <v>12</v>
      </c>
      <c r="E18" s="8" t="n">
        <f aca="false">ROUND(B18-C18*(D18/7),0)</f>
        <v>10346</v>
      </c>
      <c r="F18" s="8" t="n">
        <v>9600</v>
      </c>
      <c r="G18" s="8" t="n">
        <f aca="false">E18-F18</f>
        <v>746</v>
      </c>
      <c r="H18" s="48" t="n">
        <f aca="false">MAX(0,(E18-F18)/C18)</f>
        <v>0.355238095238095</v>
      </c>
      <c r="I18" s="49" t="n">
        <f aca="false">DATE(2026,5,1)+H18*7</f>
        <v>46145.4866666667</v>
      </c>
      <c r="J18" s="50" t="n">
        <f aca="false">I18+2*7</f>
        <v>46159.4866666667</v>
      </c>
      <c r="K18" s="8" t="s">
        <v>117</v>
      </c>
      <c r="L18" s="52" t="s">
        <v>115</v>
      </c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1" customFormat="false" ht="21.75" hidden="false" customHeight="true" outlineLevel="0" collapsed="false">
      <c r="A21" s="3" t="s">
        <v>118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38" t="s">
        <v>119</v>
      </c>
      <c r="B22" s="38" t="s">
        <v>3</v>
      </c>
      <c r="C22" s="38" t="s">
        <v>120</v>
      </c>
      <c r="D22" s="22"/>
      <c r="E22" s="22"/>
      <c r="F22" s="22"/>
      <c r="G22" s="22"/>
      <c r="H22" s="22"/>
      <c r="I22" s="22"/>
      <c r="J22" s="22"/>
    </row>
    <row r="23" customFormat="false" ht="21.75" hidden="false" customHeight="true" outlineLevel="0" collapsed="false">
      <c r="A23" s="53" t="s">
        <v>121</v>
      </c>
      <c r="B23" s="53" t="s">
        <v>122</v>
      </c>
      <c r="C23" s="54" t="s">
        <v>123</v>
      </c>
      <c r="D23" s="54"/>
      <c r="E23" s="54"/>
      <c r="F23" s="54"/>
      <c r="G23" s="54"/>
      <c r="H23" s="54"/>
      <c r="I23" s="54"/>
      <c r="J23" s="54"/>
    </row>
    <row r="24" customFormat="false" ht="21.75" hidden="false" customHeight="true" outlineLevel="0" collapsed="false">
      <c r="A24" s="53" t="s">
        <v>121</v>
      </c>
      <c r="B24" s="53" t="s">
        <v>124</v>
      </c>
      <c r="C24" s="54" t="s">
        <v>125</v>
      </c>
      <c r="D24" s="54"/>
      <c r="E24" s="54"/>
      <c r="F24" s="54"/>
      <c r="G24" s="54"/>
      <c r="H24" s="54"/>
      <c r="I24" s="54"/>
      <c r="J24" s="54"/>
    </row>
    <row r="25" customFormat="false" ht="21.75" hidden="false" customHeight="true" outlineLevel="0" collapsed="false">
      <c r="A25" s="55" t="s">
        <v>126</v>
      </c>
      <c r="B25" s="55" t="s">
        <v>127</v>
      </c>
      <c r="C25" s="56" t="s">
        <v>128</v>
      </c>
      <c r="D25" s="56"/>
      <c r="E25" s="56"/>
      <c r="F25" s="56"/>
      <c r="G25" s="56"/>
      <c r="H25" s="56"/>
      <c r="I25" s="56"/>
      <c r="J25" s="56"/>
    </row>
    <row r="26" customFormat="false" ht="21.75" hidden="false" customHeight="true" outlineLevel="0" collapsed="false">
      <c r="A26" s="57" t="s">
        <v>129</v>
      </c>
      <c r="B26" s="57" t="s">
        <v>130</v>
      </c>
      <c r="C26" s="58" t="s">
        <v>131</v>
      </c>
      <c r="D26" s="58"/>
      <c r="E26" s="58"/>
      <c r="F26" s="58"/>
      <c r="G26" s="58"/>
      <c r="H26" s="58"/>
      <c r="I26" s="58"/>
      <c r="J26" s="58"/>
    </row>
  </sheetData>
  <mergeCells count="14">
    <mergeCell ref="A1:J1"/>
    <mergeCell ref="A2:J2"/>
    <mergeCell ref="A4:J4"/>
    <mergeCell ref="F6:J6"/>
    <mergeCell ref="F7:J7"/>
    <mergeCell ref="F8:J8"/>
    <mergeCell ref="F9:J9"/>
    <mergeCell ref="A12:J12"/>
    <mergeCell ref="A13:J13"/>
    <mergeCell ref="A21:J21"/>
    <mergeCell ref="C23:J23"/>
    <mergeCell ref="C24:J24"/>
    <mergeCell ref="C25:J25"/>
    <mergeCell ref="C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3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33" t="s">
        <v>132</v>
      </c>
      <c r="B1" s="33"/>
      <c r="C1" s="33"/>
      <c r="D1" s="33"/>
      <c r="E1" s="33"/>
      <c r="F1" s="33"/>
      <c r="G1" s="33"/>
      <c r="H1" s="33"/>
    </row>
    <row r="2" customFormat="false" ht="15" hidden="false" customHeight="false" outlineLevel="0" collapsed="false">
      <c r="A2" s="34" t="s">
        <v>133</v>
      </c>
      <c r="B2" s="34"/>
      <c r="C2" s="34"/>
      <c r="D2" s="34"/>
      <c r="E2" s="34"/>
      <c r="F2" s="34"/>
      <c r="G2" s="34"/>
      <c r="H2" s="34"/>
    </row>
    <row r="4" customFormat="false" ht="21.75" hidden="false" customHeight="true" outlineLevel="0" collapsed="false">
      <c r="A4" s="3" t="s">
        <v>134</v>
      </c>
      <c r="B4" s="3"/>
      <c r="C4" s="3"/>
      <c r="D4" s="3"/>
      <c r="E4" s="3"/>
      <c r="F4" s="3"/>
      <c r="G4" s="3"/>
      <c r="H4" s="3"/>
    </row>
    <row r="5" customFormat="false" ht="34.5" hidden="false" customHeight="true" outlineLevel="0" collapsed="false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140</v>
      </c>
      <c r="G5" s="4" t="s">
        <v>141</v>
      </c>
      <c r="H5" s="4" t="s">
        <v>142</v>
      </c>
      <c r="I5" s="59" t="s">
        <v>143</v>
      </c>
    </row>
    <row r="6" customFormat="false" ht="21.75" hidden="false" customHeight="true" outlineLevel="0" collapsed="false">
      <c r="A6" s="60" t="s">
        <v>144</v>
      </c>
      <c r="B6" s="61" t="n">
        <v>1</v>
      </c>
      <c r="C6" s="62" t="n">
        <v>2100</v>
      </c>
      <c r="D6" s="62" t="n">
        <f aca="false">CEILING(C6*2,2400)</f>
        <v>4800</v>
      </c>
      <c r="E6" s="62" t="n">
        <f aca="false">CEILING(C6*2,2400)</f>
        <v>4800</v>
      </c>
      <c r="F6" s="7" t="n">
        <f aca="false">D6+E6</f>
        <v>9600</v>
      </c>
      <c r="G6" s="62" t="n">
        <f aca="false">CEILING(C6*1.5,2400)</f>
        <v>4800</v>
      </c>
      <c r="H6" s="7" t="n">
        <f aca="false">F6+G6</f>
        <v>14400</v>
      </c>
      <c r="I6" s="63" t="s">
        <v>145</v>
      </c>
    </row>
    <row r="7" customFormat="false" ht="21.75" hidden="false" customHeight="true" outlineLevel="0" collapsed="false">
      <c r="A7" s="64" t="s">
        <v>146</v>
      </c>
      <c r="B7" s="65" t="n">
        <v>1.1</v>
      </c>
      <c r="C7" s="66" t="n">
        <v>2310</v>
      </c>
      <c r="D7" s="66" t="n">
        <f aca="false">CEILING(C7*2,2400)</f>
        <v>4800</v>
      </c>
      <c r="E7" s="66" t="n">
        <f aca="false">CEILING(C7*2,2400)</f>
        <v>4800</v>
      </c>
      <c r="F7" s="7" t="n">
        <f aca="false">D7+E7</f>
        <v>9600</v>
      </c>
      <c r="G7" s="66" t="n">
        <f aca="false">CEILING(C7*1.5,2400)</f>
        <v>4800</v>
      </c>
      <c r="H7" s="7" t="n">
        <f aca="false">F7+G7</f>
        <v>14400</v>
      </c>
      <c r="I7" s="67" t="s">
        <v>147</v>
      </c>
    </row>
    <row r="8" customFormat="false" ht="21.75" hidden="false" customHeight="true" outlineLevel="0" collapsed="false">
      <c r="A8" s="68" t="s">
        <v>148</v>
      </c>
      <c r="B8" s="65" t="n">
        <v>1.2</v>
      </c>
      <c r="C8" s="69" t="n">
        <v>2520</v>
      </c>
      <c r="D8" s="69" t="n">
        <f aca="false">CEILING(C8*2,2400)</f>
        <v>7200</v>
      </c>
      <c r="E8" s="69" t="n">
        <f aca="false">CEILING(C8*2,2400)</f>
        <v>7200</v>
      </c>
      <c r="F8" s="7" t="n">
        <f aca="false">D8+E8</f>
        <v>14400</v>
      </c>
      <c r="G8" s="69" t="n">
        <f aca="false">CEILING(C8*1.5,2400)</f>
        <v>4800</v>
      </c>
      <c r="H8" s="7" t="n">
        <f aca="false">F8+G8</f>
        <v>19200</v>
      </c>
      <c r="I8" s="70" t="s">
        <v>149</v>
      </c>
    </row>
    <row r="9" customFormat="false" ht="21.75" hidden="false" customHeight="true" outlineLevel="0" collapsed="false">
      <c r="A9" s="68" t="s">
        <v>150</v>
      </c>
      <c r="B9" s="65" t="n">
        <v>1.3</v>
      </c>
      <c r="C9" s="69" t="n">
        <v>2730</v>
      </c>
      <c r="D9" s="69" t="n">
        <f aca="false">CEILING(C9*2,2400)</f>
        <v>7200</v>
      </c>
      <c r="E9" s="69" t="n">
        <f aca="false">CEILING(C9*2,2400)</f>
        <v>7200</v>
      </c>
      <c r="F9" s="7" t="n">
        <f aca="false">D9+E9</f>
        <v>14400</v>
      </c>
      <c r="G9" s="69" t="n">
        <f aca="false">CEILING(C9*1.5,2400)</f>
        <v>4800</v>
      </c>
      <c r="H9" s="7" t="n">
        <f aca="false">F9+G9</f>
        <v>19200</v>
      </c>
      <c r="I9" s="70" t="s">
        <v>151</v>
      </c>
    </row>
    <row r="11" customFormat="false" ht="21.75" hidden="false" customHeight="true" outlineLevel="0" collapsed="false">
      <c r="A11" s="3" t="s">
        <v>152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8" t="s">
        <v>153</v>
      </c>
      <c r="B12" s="38" t="s">
        <v>154</v>
      </c>
      <c r="C12" s="38" t="s">
        <v>155</v>
      </c>
      <c r="D12" s="22"/>
      <c r="E12" s="22"/>
      <c r="F12" s="22"/>
      <c r="G12" s="22"/>
      <c r="H12" s="22"/>
    </row>
    <row r="13" customFormat="false" ht="21.75" hidden="false" customHeight="true" outlineLevel="0" collapsed="false">
      <c r="A13" s="71" t="s">
        <v>156</v>
      </c>
      <c r="B13" s="72" t="s">
        <v>157</v>
      </c>
      <c r="C13" s="72"/>
      <c r="D13" s="54" t="s">
        <v>158</v>
      </c>
      <c r="E13" s="54"/>
      <c r="F13" s="54"/>
      <c r="G13" s="54"/>
      <c r="H13" s="54"/>
    </row>
    <row r="14" customFormat="false" ht="21.75" hidden="false" customHeight="true" outlineLevel="0" collapsed="false">
      <c r="A14" s="71" t="s">
        <v>159</v>
      </c>
      <c r="B14" s="72" t="s">
        <v>160</v>
      </c>
      <c r="C14" s="72"/>
      <c r="D14" s="54" t="s">
        <v>161</v>
      </c>
      <c r="E14" s="54"/>
      <c r="F14" s="54"/>
      <c r="G14" s="54"/>
      <c r="H14" s="54"/>
    </row>
    <row r="15" customFormat="false" ht="21.75" hidden="false" customHeight="true" outlineLevel="0" collapsed="false">
      <c r="A15" s="71" t="s">
        <v>162</v>
      </c>
      <c r="B15" s="72" t="s">
        <v>163</v>
      </c>
      <c r="C15" s="72"/>
      <c r="D15" s="54" t="s">
        <v>164</v>
      </c>
      <c r="E15" s="54"/>
      <c r="F15" s="54"/>
      <c r="G15" s="54"/>
      <c r="H15" s="54"/>
    </row>
    <row r="16" customFormat="false" ht="21.75" hidden="false" customHeight="true" outlineLevel="0" collapsed="false">
      <c r="A16" s="73" t="s">
        <v>165</v>
      </c>
      <c r="B16" s="74" t="s">
        <v>166</v>
      </c>
      <c r="C16" s="74"/>
      <c r="D16" s="58" t="s">
        <v>167</v>
      </c>
      <c r="E16" s="58"/>
      <c r="F16" s="58"/>
      <c r="G16" s="58"/>
      <c r="H16" s="58"/>
    </row>
    <row r="17" customFormat="false" ht="21.75" hidden="false" customHeight="true" outlineLevel="0" collapsed="false">
      <c r="A17" s="73" t="s">
        <v>168</v>
      </c>
      <c r="B17" s="74" t="s">
        <v>169</v>
      </c>
      <c r="C17" s="74"/>
      <c r="D17" s="58" t="s">
        <v>170</v>
      </c>
      <c r="E17" s="58"/>
      <c r="F17" s="58"/>
      <c r="G17" s="58"/>
      <c r="H17" s="58"/>
    </row>
    <row r="18" customFormat="false" ht="21.75" hidden="false" customHeight="true" outlineLevel="0" collapsed="false">
      <c r="A18" s="73" t="s">
        <v>171</v>
      </c>
      <c r="B18" s="74" t="s">
        <v>172</v>
      </c>
      <c r="C18" s="74"/>
      <c r="D18" s="58" t="s">
        <v>173</v>
      </c>
      <c r="E18" s="58"/>
      <c r="F18" s="58"/>
      <c r="G18" s="58"/>
      <c r="H18" s="58"/>
    </row>
    <row r="20" customFormat="false" ht="21.75" hidden="false" customHeight="true" outlineLevel="0" collapsed="false">
      <c r="A20" s="3" t="s">
        <v>174</v>
      </c>
      <c r="B20" s="3"/>
      <c r="C20" s="3"/>
      <c r="D20" s="3"/>
      <c r="E20" s="3"/>
      <c r="F20" s="3"/>
      <c r="G20" s="3"/>
      <c r="H20" s="3"/>
    </row>
    <row r="21" customFormat="false" ht="30" hidden="false" customHeight="true" outlineLevel="0" collapsed="false">
      <c r="A21" s="4" t="s">
        <v>175</v>
      </c>
      <c r="B21" s="4" t="s">
        <v>176</v>
      </c>
      <c r="C21" s="4" t="s">
        <v>177</v>
      </c>
      <c r="D21" s="4" t="s">
        <v>178</v>
      </c>
      <c r="E21" s="4" t="s">
        <v>179</v>
      </c>
      <c r="F21" s="4" t="s">
        <v>180</v>
      </c>
      <c r="G21" s="4" t="s">
        <v>181</v>
      </c>
      <c r="H21" s="4" t="s">
        <v>182</v>
      </c>
    </row>
    <row r="22" customFormat="false" ht="18" hidden="false" customHeight="true" outlineLevel="0" collapsed="false">
      <c r="A22" s="75" t="s">
        <v>183</v>
      </c>
      <c r="B22" s="66" t="n">
        <v>10376</v>
      </c>
      <c r="C22" s="66" t="n">
        <v>2520</v>
      </c>
      <c r="D22" s="66" t="n">
        <v>7856</v>
      </c>
      <c r="E22" s="66" t="n">
        <v>9600</v>
      </c>
      <c r="F22" s="75"/>
      <c r="G22" s="66" t="s">
        <v>184</v>
      </c>
      <c r="H22" s="66" t="n">
        <v>7856</v>
      </c>
    </row>
    <row r="23" customFormat="false" ht="18" hidden="false" customHeight="true" outlineLevel="0" collapsed="false">
      <c r="A23" s="75" t="s">
        <v>185</v>
      </c>
      <c r="B23" s="66" t="n">
        <v>7856</v>
      </c>
      <c r="C23" s="66" t="n">
        <v>2520</v>
      </c>
      <c r="D23" s="66" t="n">
        <v>5336</v>
      </c>
      <c r="E23" s="66" t="n">
        <v>9600</v>
      </c>
      <c r="F23" s="51" t="s">
        <v>186</v>
      </c>
      <c r="G23" s="66" t="s">
        <v>184</v>
      </c>
      <c r="H23" s="66" t="n">
        <v>5336</v>
      </c>
    </row>
    <row r="24" customFormat="false" ht="18" hidden="false" customHeight="true" outlineLevel="0" collapsed="false">
      <c r="A24" s="75" t="s">
        <v>187</v>
      </c>
      <c r="B24" s="66" t="n">
        <v>5336</v>
      </c>
      <c r="C24" s="66" t="n">
        <v>2520</v>
      </c>
      <c r="D24" s="66" t="n">
        <v>2816</v>
      </c>
      <c r="E24" s="66" t="n">
        <v>9600</v>
      </c>
      <c r="F24" s="51" t="s">
        <v>186</v>
      </c>
      <c r="G24" s="66" t="s">
        <v>184</v>
      </c>
      <c r="H24" s="66" t="n">
        <v>2816</v>
      </c>
    </row>
    <row r="25" customFormat="false" ht="18" hidden="false" customHeight="true" outlineLevel="0" collapsed="false">
      <c r="A25" s="75" t="s">
        <v>188</v>
      </c>
      <c r="B25" s="66" t="n">
        <v>2816</v>
      </c>
      <c r="C25" s="66" t="n">
        <v>2520</v>
      </c>
      <c r="D25" s="66" t="n">
        <v>296</v>
      </c>
      <c r="E25" s="66" t="n">
        <v>9600</v>
      </c>
      <c r="F25" s="51" t="s">
        <v>186</v>
      </c>
      <c r="G25" s="62" t="n">
        <v>2400</v>
      </c>
      <c r="H25" s="66" t="n">
        <v>2696</v>
      </c>
    </row>
    <row r="26" customFormat="false" ht="18" hidden="false" customHeight="true" outlineLevel="0" collapsed="false">
      <c r="A26" s="75" t="s">
        <v>189</v>
      </c>
      <c r="B26" s="66" t="n">
        <v>2696</v>
      </c>
      <c r="C26" s="66" t="n">
        <v>2520</v>
      </c>
      <c r="D26" s="66" t="n">
        <v>176</v>
      </c>
      <c r="E26" s="66" t="n">
        <v>9600</v>
      </c>
      <c r="F26" s="51" t="s">
        <v>186</v>
      </c>
      <c r="G26" s="62" t="n">
        <v>2400</v>
      </c>
      <c r="H26" s="66" t="n">
        <v>2576</v>
      </c>
    </row>
    <row r="27" customFormat="false" ht="18" hidden="false" customHeight="true" outlineLevel="0" collapsed="false">
      <c r="A27" s="75" t="s">
        <v>190</v>
      </c>
      <c r="B27" s="66" t="n">
        <v>2576</v>
      </c>
      <c r="C27" s="66" t="n">
        <v>2520</v>
      </c>
      <c r="D27" s="66" t="n">
        <v>56</v>
      </c>
      <c r="E27" s="66" t="n">
        <v>9600</v>
      </c>
      <c r="F27" s="51" t="s">
        <v>186</v>
      </c>
      <c r="G27" s="62" t="n">
        <v>2400</v>
      </c>
      <c r="H27" s="66" t="n">
        <v>2456</v>
      </c>
    </row>
    <row r="28" customFormat="false" ht="18" hidden="false" customHeight="true" outlineLevel="0" collapsed="false">
      <c r="A28" s="76" t="s">
        <v>191</v>
      </c>
      <c r="B28" s="69" t="n">
        <v>2456</v>
      </c>
      <c r="C28" s="69" t="n">
        <v>2520</v>
      </c>
      <c r="D28" s="77" t="n">
        <v>-64</v>
      </c>
      <c r="E28" s="69" t="n">
        <v>9600</v>
      </c>
      <c r="F28" s="51" t="s">
        <v>186</v>
      </c>
      <c r="G28" s="62" t="n">
        <v>2400</v>
      </c>
      <c r="H28" s="69" t="n">
        <v>2336</v>
      </c>
    </row>
    <row r="29" customFormat="false" ht="18" hidden="false" customHeight="true" outlineLevel="0" collapsed="false">
      <c r="A29" s="76" t="s">
        <v>192</v>
      </c>
      <c r="B29" s="69" t="n">
        <v>2336</v>
      </c>
      <c r="C29" s="69" t="n">
        <v>2520</v>
      </c>
      <c r="D29" s="77" t="n">
        <v>-184</v>
      </c>
      <c r="E29" s="69" t="n">
        <v>9600</v>
      </c>
      <c r="F29" s="51" t="s">
        <v>186</v>
      </c>
      <c r="G29" s="62" t="n">
        <v>2400</v>
      </c>
      <c r="H29" s="69" t="n">
        <v>2216</v>
      </c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</row>
  </sheetData>
  <mergeCells count="17">
    <mergeCell ref="A1:H1"/>
    <mergeCell ref="A2:H2"/>
    <mergeCell ref="A4:H4"/>
    <mergeCell ref="A11:H11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6" min="5" style="0" width="1"/>
    <col collapsed="false" customWidth="true" hidden="false" outlineLevel="0" max="7" min="7" style="0" width="40"/>
  </cols>
  <sheetData>
    <row r="1" customFormat="false" ht="37.5" hidden="false" customHeight="true" outlineLevel="0" collapsed="false">
      <c r="A1" s="33" t="s">
        <v>193</v>
      </c>
      <c r="B1" s="33"/>
      <c r="C1" s="33"/>
      <c r="D1" s="33"/>
      <c r="E1" s="33"/>
      <c r="F1" s="33"/>
    </row>
    <row r="2" customFormat="false" ht="15" hidden="false" customHeight="false" outlineLevel="0" collapsed="false">
      <c r="A2" s="34" t="s">
        <v>194</v>
      </c>
      <c r="B2" s="34"/>
      <c r="C2" s="34"/>
      <c r="D2" s="34"/>
      <c r="E2" s="34"/>
      <c r="F2" s="34"/>
    </row>
    <row r="4" customFormat="false" ht="15" hidden="false" customHeight="false" outlineLevel="0" collapsed="false">
      <c r="A4" s="3" t="s">
        <v>195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78" t="s">
        <v>196</v>
      </c>
      <c r="B5" s="78" t="s">
        <v>197</v>
      </c>
      <c r="C5" s="78" t="s">
        <v>13</v>
      </c>
      <c r="D5" s="78" t="s">
        <v>15</v>
      </c>
      <c r="E5" s="78" t="s">
        <v>16</v>
      </c>
      <c r="F5" s="78" t="s">
        <v>17</v>
      </c>
      <c r="G5" s="78" t="s">
        <v>198</v>
      </c>
    </row>
    <row r="6" customFormat="false" ht="18" hidden="false" customHeight="true" outlineLevel="0" collapsed="false">
      <c r="A6" s="32" t="s">
        <v>4</v>
      </c>
      <c r="B6" s="79" t="s">
        <v>199</v>
      </c>
      <c r="C6" s="79" t="n">
        <v>14400</v>
      </c>
      <c r="D6" s="79" t="n">
        <v>7200</v>
      </c>
      <c r="E6" s="79" t="n">
        <v>21600</v>
      </c>
      <c r="F6" s="79" t="n">
        <v>9290</v>
      </c>
      <c r="G6" s="32" t="s">
        <v>200</v>
      </c>
    </row>
    <row r="7" customFormat="false" ht="18" hidden="false" customHeight="true" outlineLevel="0" collapsed="false">
      <c r="A7" s="80" t="s">
        <v>201</v>
      </c>
      <c r="B7" s="81" t="s">
        <v>202</v>
      </c>
      <c r="C7" s="81" t="n">
        <v>1090</v>
      </c>
      <c r="D7" s="81" t="n">
        <v>1216</v>
      </c>
      <c r="E7" s="81" t="n">
        <v>465</v>
      </c>
      <c r="F7" s="81" t="n">
        <v>1366</v>
      </c>
      <c r="G7" s="80" t="s">
        <v>203</v>
      </c>
    </row>
    <row r="8" customFormat="false" ht="18" hidden="false" customHeight="true" outlineLevel="0" collapsed="false">
      <c r="A8" s="32" t="s">
        <v>204</v>
      </c>
      <c r="B8" s="79" t="s">
        <v>205</v>
      </c>
      <c r="C8" s="79" t="n">
        <v>1495</v>
      </c>
      <c r="D8" s="79" t="n">
        <v>2474</v>
      </c>
      <c r="E8" s="79" t="n">
        <v>701</v>
      </c>
      <c r="F8" s="79" t="n">
        <v>3290</v>
      </c>
      <c r="G8" s="32" t="s">
        <v>206</v>
      </c>
    </row>
    <row r="10" customFormat="false" ht="15" hidden="false" customHeight="false" outlineLevel="0" collapsed="false">
      <c r="A10" s="3" t="s">
        <v>207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78" t="s">
        <v>208</v>
      </c>
      <c r="B11" s="78" t="s">
        <v>209</v>
      </c>
      <c r="C11" s="78" t="s">
        <v>210</v>
      </c>
      <c r="D11" s="78" t="s">
        <v>74</v>
      </c>
      <c r="E11" s="78"/>
      <c r="F11" s="78"/>
      <c r="G11" s="78" t="s">
        <v>198</v>
      </c>
    </row>
    <row r="12" customFormat="false" ht="18" hidden="false" customHeight="true" outlineLevel="0" collapsed="false">
      <c r="A12" s="32" t="s">
        <v>211</v>
      </c>
      <c r="B12" s="32" t="s">
        <v>212</v>
      </c>
      <c r="C12" s="32" t="s">
        <v>213</v>
      </c>
      <c r="D12" s="32" t="s">
        <v>214</v>
      </c>
      <c r="E12" s="32"/>
      <c r="F12" s="32"/>
      <c r="G12" s="32" t="s">
        <v>215</v>
      </c>
    </row>
    <row r="13" customFormat="false" ht="18" hidden="false" customHeight="true" outlineLevel="0" collapsed="false">
      <c r="A13" s="80" t="s">
        <v>216</v>
      </c>
      <c r="B13" s="80" t="s">
        <v>212</v>
      </c>
      <c r="C13" s="80" t="s">
        <v>217</v>
      </c>
      <c r="D13" s="80" t="s">
        <v>218</v>
      </c>
      <c r="E13" s="80"/>
      <c r="F13" s="80"/>
      <c r="G13" s="80" t="s">
        <v>219</v>
      </c>
    </row>
    <row r="14" customFormat="false" ht="18" hidden="false" customHeight="true" outlineLevel="0" collapsed="false">
      <c r="A14" s="32" t="s">
        <v>220</v>
      </c>
      <c r="B14" s="32" t="s">
        <v>221</v>
      </c>
      <c r="C14" s="32" t="s">
        <v>222</v>
      </c>
      <c r="D14" s="32" t="s">
        <v>223</v>
      </c>
      <c r="E14" s="32"/>
      <c r="F14" s="32"/>
      <c r="G14" s="32" t="s">
        <v>224</v>
      </c>
    </row>
    <row r="15" customFormat="false" ht="18" hidden="false" customHeight="true" outlineLevel="0" collapsed="false">
      <c r="A15" s="80" t="s">
        <v>225</v>
      </c>
      <c r="B15" s="80" t="s">
        <v>226</v>
      </c>
      <c r="C15" s="80" t="s">
        <v>227</v>
      </c>
      <c r="D15" s="80" t="s">
        <v>228</v>
      </c>
      <c r="E15" s="80"/>
      <c r="F15" s="80"/>
      <c r="G15" s="80" t="s">
        <v>229</v>
      </c>
    </row>
    <row r="16" customFormat="false" ht="18" hidden="false" customHeight="true" outlineLevel="0" collapsed="false">
      <c r="A16" s="32" t="s">
        <v>230</v>
      </c>
      <c r="B16" s="32" t="s">
        <v>231</v>
      </c>
      <c r="C16" s="32" t="s">
        <v>232</v>
      </c>
      <c r="D16" s="32" t="s">
        <v>233</v>
      </c>
      <c r="E16" s="32"/>
      <c r="F16" s="32"/>
      <c r="G16" s="32" t="s">
        <v>234</v>
      </c>
    </row>
  </sheetData>
  <mergeCells count="4">
    <mergeCell ref="A1:F1"/>
    <mergeCell ref="A2:F2"/>
    <mergeCell ref="A4:F4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2026-04-19T07:44:14Z</dcterms:created>
  <dc:creator>openpyxl</dc:creator>
  <dc:description/>
  <dc:language>en-US</dc:language>
  <cp:lastModifiedBy/>
  <dcterms:modified xsi:type="dcterms:W3CDTF">2026-04-19T07:44:14Z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